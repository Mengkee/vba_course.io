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ityuni-my.sharepoint.com/personal/mengke_lyu_cass_city_ac_uk/Documents/past exams/CP2/CW VBA/"/>
    </mc:Choice>
  </mc:AlternateContent>
  <xr:revisionPtr revIDLastSave="14432" documentId="13_ncr:1_{D28BE648-3794-4528-8E85-D2ECB9003A7A}" xr6:coauthVersionLast="45" xr6:coauthVersionMax="45" xr10:uidLastSave="{9F1909B7-5DA0-4D83-A176-D99460465CEA}"/>
  <bookViews>
    <workbookView xWindow="-120" yWindow="-120" windowWidth="20730" windowHeight="11760" activeTab="3" xr2:uid="{00000000-000D-0000-FFFF-FFFF00000000}"/>
  </bookViews>
  <sheets>
    <sheet name="Instruction" sheetId="30" r:id="rId1"/>
    <sheet name="parameters" sheetId="20" r:id="rId2"/>
    <sheet name="Transition Rates" sheetId="1" r:id="rId3"/>
    <sheet name="md_transition_rate_table" sheetId="31" r:id="rId4"/>
  </sheets>
  <definedNames>
    <definedName name="chart_type">parameters!$B$7</definedName>
    <definedName name="ds_rate">parameters!$B$4:$B$6</definedName>
    <definedName name="Number_of_simulations">parameters!$B$3</definedName>
    <definedName name="run_options">parameters!$B$2</definedName>
    <definedName name="transition_check">'Transition Rates'!$B$6:$I$50</definedName>
    <definedName name="transition_rates">'Transition Rates'!$A$5:$I$51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20" l="1"/>
  <c r="A18" i="30" l="1"/>
  <c r="A17" i="30"/>
  <c r="A16" i="30"/>
  <c r="A5" i="30"/>
  <c r="A7" i="20" l="1"/>
  <c r="A6" i="20"/>
  <c r="A5" i="20"/>
  <c r="A4" i="20"/>
  <c r="A3" i="20"/>
  <c r="A7" i="1" l="1"/>
  <c r="A8" i="1" s="1"/>
  <c r="A9" i="1" l="1"/>
  <c r="A10" i="1" l="1"/>
  <c r="A11" i="1" l="1"/>
  <c r="A12" i="1" l="1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</calcChain>
</file>

<file path=xl/sharedStrings.xml><?xml version="1.0" encoding="utf-8"?>
<sst xmlns="http://schemas.openxmlformats.org/spreadsheetml/2006/main" count="89" uniqueCount="85">
  <si>
    <t>Age</t>
  </si>
  <si>
    <t>0 to 1</t>
  </si>
  <si>
    <t>0 to 2</t>
  </si>
  <si>
    <t>0 to 3</t>
  </si>
  <si>
    <t>1 to 0</t>
  </si>
  <si>
    <t xml:space="preserve"> 1 to 2</t>
  </si>
  <si>
    <t>1 to 3</t>
  </si>
  <si>
    <t>2 to 1</t>
  </si>
  <si>
    <t>2 to 3</t>
  </si>
  <si>
    <t>Transition Rates (0 - Healthy, 1 - Light-Sickness, 2 - Heavy-Sickness, 3 - Dead)</t>
  </si>
  <si>
    <t xml:space="preserve">Run options </t>
    <phoneticPr fontId="3" type="noConversion"/>
  </si>
  <si>
    <t>A single deterministic run</t>
  </si>
  <si>
    <t>stochastic runs</t>
  </si>
  <si>
    <t>Parameters input</t>
    <phoneticPr fontId="3" type="noConversion"/>
  </si>
  <si>
    <t>User instuctions</t>
    <phoneticPr fontId="3" type="noConversion"/>
  </si>
  <si>
    <t>Line Chart</t>
  </si>
  <si>
    <t>3D Column</t>
    <phoneticPr fontId="3" type="noConversion"/>
  </si>
  <si>
    <t>Column Chart</t>
    <phoneticPr fontId="3" type="noConversion"/>
  </si>
  <si>
    <t>Bar Chart</t>
    <phoneticPr fontId="3" type="noConversion"/>
  </si>
  <si>
    <t>3D Line</t>
    <phoneticPr fontId="3" type="noConversion"/>
  </si>
  <si>
    <t>3D Bar</t>
    <phoneticPr fontId="3" type="noConversion"/>
  </si>
  <si>
    <t>Available options</t>
    <phoneticPr fontId="3" type="noConversion"/>
  </si>
  <si>
    <t>Run options</t>
    <phoneticPr fontId="3" type="noConversion"/>
  </si>
  <si>
    <t>Type of chart</t>
    <phoneticPr fontId="3" type="noConversion"/>
  </si>
  <si>
    <t>Explanation</t>
    <phoneticPr fontId="3" type="noConversion"/>
  </si>
  <si>
    <t xml:space="preserve"> </t>
    <phoneticPr fontId="3" type="noConversion"/>
  </si>
  <si>
    <t>Input cells are in yellow background</t>
    <phoneticPr fontId="3" type="noConversion"/>
  </si>
  <si>
    <t>Assume one healthy life at time 0</t>
    <phoneticPr fontId="3" type="noConversion"/>
  </si>
  <si>
    <t>Assume lives follow the distribution specified by the user</t>
    <phoneticPr fontId="3" type="noConversion"/>
  </si>
  <si>
    <t>Click the button "Run the mode" to run.</t>
    <phoneticPr fontId="3" type="noConversion"/>
  </si>
  <si>
    <t>Entries</t>
    <phoneticPr fontId="3" type="noConversion"/>
  </si>
  <si>
    <t>Number of simulations</t>
    <phoneticPr fontId="3" type="noConversion"/>
  </si>
  <si>
    <t>numeric value 1 to 1000</t>
    <phoneticPr fontId="3" type="noConversion"/>
  </si>
  <si>
    <t>The number of simulations to run. Leave empty if single deterministic run is chosen</t>
    <phoneticPr fontId="3" type="noConversion"/>
  </si>
  <si>
    <t>each of the three proportion should fall between 0 to 1, with the summation of 1</t>
    <phoneticPr fontId="3" type="noConversion"/>
  </si>
  <si>
    <t>Draw a bar chart</t>
    <phoneticPr fontId="3" type="noConversion"/>
  </si>
  <si>
    <t>Draw a line chart</t>
    <phoneticPr fontId="3" type="noConversion"/>
  </si>
  <si>
    <t>Draw a column chart</t>
    <phoneticPr fontId="3" type="noConversion"/>
  </si>
  <si>
    <t>Draw a 3D line chart</t>
    <phoneticPr fontId="3" type="noConversion"/>
  </si>
  <si>
    <t>Draw a 3D bar chart</t>
    <phoneticPr fontId="3" type="noConversion"/>
  </si>
  <si>
    <t>Draw a 3D column chart</t>
    <phoneticPr fontId="3" type="noConversion"/>
  </si>
  <si>
    <t>The distribution of health status for 65 year - old lives. 
For example, if the "Health proportion" is 1 and the others are 0, all the lives aged 65 are healthy.</t>
    <phoneticPr fontId="3" type="noConversion"/>
  </si>
  <si>
    <t>The password for this worksheet is "Perfect_vba_model"</t>
    <phoneticPr fontId="3" type="noConversion"/>
  </si>
  <si>
    <t>Sub procedure 3 (Private procesure): draw_chart</t>
    <phoneticPr fontId="3" type="noConversion"/>
  </si>
  <si>
    <t>Sub procedure 2 (Private procesure): option2</t>
    <phoneticPr fontId="3" type="noConversion"/>
  </si>
  <si>
    <t>Sub procedure 2 (Private procesure): option1</t>
    <phoneticPr fontId="3" type="noConversion"/>
  </si>
  <si>
    <t>Run the deterministic model option.</t>
    <phoneticPr fontId="3" type="noConversion"/>
  </si>
  <si>
    <t>Run the stochastic model option.</t>
    <phoneticPr fontId="3" type="noConversion"/>
  </si>
  <si>
    <t>The order of columns is unchangeable. ("0 to 1" , "0 to 2", "0 to 3, "1 to 0", "1 to 2", "1 to 3", "2 to 1", "2 to 3")</t>
    <phoneticPr fontId="3" type="noConversion"/>
  </si>
  <si>
    <t xml:space="preserve">You cannot increase or decrease the number of rows or columns. </t>
    <phoneticPr fontId="3" type="noConversion"/>
  </si>
  <si>
    <t>Only when stochastic runs are chosen, the following options would be visible</t>
    <phoneticPr fontId="3" type="noConversion"/>
  </si>
  <si>
    <t>Function 1:  WorksheetExists</t>
    <phoneticPr fontId="3" type="noConversion"/>
  </si>
  <si>
    <t>This function intends to check if a sheet exists. In the main procedure, this function is used to check if the worksheet with certain name exists before a new worksheet is created.</t>
    <phoneticPr fontId="3" type="noConversion"/>
  </si>
  <si>
    <t>As the initial states of lives aged 65 needs to be specified by the user, this function is used to generate random states based on the user entries.</t>
    <phoneticPr fontId="3" type="noConversion"/>
  </si>
  <si>
    <t>First of all, this procesure checks if the data entries are in correct format and give warnings if there is empty cell.</t>
    <phoneticPr fontId="3" type="noConversion"/>
  </si>
  <si>
    <t>If the A single deterministic run is chosen, the sub procedure "option1" is called.</t>
    <phoneticPr fontId="3" type="noConversion"/>
  </si>
  <si>
    <t>If the stochastic runs is chosen, the sub procedure "option2" is called.</t>
    <phoneticPr fontId="3" type="noConversion"/>
  </si>
  <si>
    <t>Secondly, based on user choice, either sub procedure "option1" or  sub procedure "option2" is called</t>
    <phoneticPr fontId="3" type="noConversion"/>
  </si>
  <si>
    <t xml:space="preserve">Stage 1 : store useful data. The transition rates are stored as an array "transition_rate_table". </t>
    <phoneticPr fontId="3" type="noConversion"/>
  </si>
  <si>
    <t xml:space="preserve">Stage 2: perform calculations. An array called "output" is used to store the output. </t>
    <phoneticPr fontId="3" type="noConversion"/>
  </si>
  <si>
    <t xml:space="preserve">Stage 2: perform calculations. An array called "output" is created to store the output. </t>
    <phoneticPr fontId="3" type="noConversion"/>
  </si>
  <si>
    <t>Stage 3: The output is writtten to the sheet "md_table"</t>
    <phoneticPr fontId="3" type="noConversion"/>
  </si>
  <si>
    <t>Stage 3: summarize useful information. The expected life span is calculated and written to the "summary" worksheet</t>
    <phoneticPr fontId="3" type="noConversion"/>
  </si>
  <si>
    <t>Stage 4: The private sub procedure "draw_chart" is called. A graph is drawn based on the chart type specified by the user</t>
    <phoneticPr fontId="3" type="noConversion"/>
  </si>
  <si>
    <t>This procedure is used to produce a chart according to what is required by the user.</t>
    <phoneticPr fontId="3" type="noConversion"/>
  </si>
  <si>
    <t>Sub procedure 4 (Private procesure): ProgressTime</t>
    <phoneticPr fontId="3" type="noConversion"/>
  </si>
  <si>
    <t>This procedure is created to track the progress in a loop.</t>
    <phoneticPr fontId="3" type="noConversion"/>
  </si>
  <si>
    <t>The progress is shown in the application status bar.</t>
    <phoneticPr fontId="3" type="noConversion"/>
  </si>
  <si>
    <t>parameters worksheet:</t>
    <phoneticPr fontId="3" type="noConversion"/>
  </si>
  <si>
    <t>Before running the code, users should make sure the input in the "parameters" sheet and "Transition Rates" sheet are correct</t>
    <phoneticPr fontId="3" type="noConversion"/>
  </si>
  <si>
    <t>Transition Rates worksheet:</t>
    <phoneticPr fontId="3" type="noConversion"/>
  </si>
  <si>
    <t>Input Range B6 : I50.</t>
    <phoneticPr fontId="3" type="noConversion"/>
  </si>
  <si>
    <t>You cannot change any other cells other than the input range</t>
    <phoneticPr fontId="3" type="noConversion"/>
  </si>
  <si>
    <t>It is not allowed to change the order of the columns.</t>
    <phoneticPr fontId="3" type="noConversion"/>
  </si>
  <si>
    <t xml:space="preserve">Code guidance to programmers </t>
    <phoneticPr fontId="3" type="noConversion"/>
  </si>
  <si>
    <t>Function 2: initial_status</t>
    <phoneticPr fontId="3" type="noConversion"/>
  </si>
  <si>
    <t>Sub procedure 1 (Main procesure): SLA_Model</t>
    <phoneticPr fontId="3" type="noConversion"/>
  </si>
  <si>
    <t>, and the average time spending in each state for each age is also calculated and written in the summary worksheet</t>
    <phoneticPr fontId="3" type="noConversion"/>
  </si>
  <si>
    <t>Leave the 5 rows (from number of simulations to type of chart) empty if single deterministic run is chosen</t>
    <phoneticPr fontId="3" type="noConversion"/>
  </si>
  <si>
    <t>Highlights</t>
    <phoneticPr fontId="3" type="noConversion"/>
  </si>
  <si>
    <t>1. The code has been made compatible for both excel 2010 users and 2013 users.</t>
    <phoneticPr fontId="3" type="noConversion"/>
  </si>
  <si>
    <t>2. The debug mode is well designed to cater for the requirements for both junior user and programmers.</t>
    <phoneticPr fontId="3" type="noConversion"/>
  </si>
  <si>
    <t>You can change the debug mode from "err" to 0.</t>
    <phoneticPr fontId="3" type="noConversion"/>
  </si>
  <si>
    <t>Dead (3)</t>
  </si>
  <si>
    <t>Cumulative Dead (3)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</si>
</sst>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00000"/>
    <numFmt numFmtId="177" formatCode="0.0000"/>
  </numFmts>
  <fonts count="18" x14ac:knownFonts="1">
    <font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9"/>
      <name val="宋体"/>
      <family val="3"/>
      <charset val="134"/>
      <scheme val="minor"/>
    </font>
    <font>
      <b/>
      <sz val="11"/>
      <color rgb="FFFFC000"/>
      <name val="Calibri"/>
      <family val="2"/>
    </font>
    <font>
      <sz val="14"/>
      <color theme="1"/>
      <name val="Calibri"/>
      <family val="2"/>
    </font>
    <font>
      <i/>
      <sz val="14"/>
      <color rgb="FFECBD17"/>
      <name val="Calibri"/>
      <family val="2"/>
    </font>
    <font>
      <sz val="14"/>
      <color rgb="FFECBD17"/>
      <name val="Calibri"/>
      <family val="2"/>
    </font>
    <font>
      <sz val="11"/>
      <color rgb="FFECBD17"/>
      <name val="Calibri"/>
      <family val="2"/>
    </font>
    <font>
      <sz val="22"/>
      <color rgb="FFECBD17"/>
      <name val="Calibri"/>
      <family val="2"/>
    </font>
    <font>
      <sz val="11"/>
      <color rgb="FFECBD17"/>
      <name val="宋体"/>
      <family val="2"/>
      <scheme val="minor"/>
    </font>
    <font>
      <b/>
      <i/>
      <sz val="20"/>
      <color rgb="FFECBD17"/>
      <name val="Calibri"/>
      <family val="2"/>
    </font>
    <font>
      <b/>
      <sz val="11"/>
      <color rgb="FFECBD17"/>
      <name val="Calibri"/>
      <family val="2"/>
    </font>
    <font>
      <b/>
      <i/>
      <sz val="14"/>
      <color rgb="FFFF0000"/>
      <name val="Calibri"/>
      <family val="2"/>
    </font>
    <font>
      <i/>
      <sz val="16"/>
      <color rgb="FFECBD17"/>
      <name val="Calibri"/>
      <family val="2"/>
    </font>
    <font>
      <b/>
      <sz val="11"/>
      <color rgb="FFFF0000"/>
      <name val="Calibri"/>
      <family val="2"/>
    </font>
    <font>
      <sz val="12"/>
      <color rgb="FFECBD17"/>
      <name val="Calibri"/>
      <family val="2"/>
    </font>
    <font>
      <b/>
      <sz val="12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ECBD17"/>
        <bgColor indexed="64"/>
      </patternFill>
    </fill>
    <fill>
      <patternFill patternType="solid">
        <fgColor rgb="FF262140"/>
        <bgColor indexed="64"/>
      </patternFill>
    </fill>
  </fills>
  <borders count="28">
    <border>
      <left/>
      <right/>
      <top/>
      <bottom/>
      <diagonal/>
    </border>
    <border>
      <left style="thin">
        <color rgb="FF262140"/>
      </left>
      <right/>
      <top style="thin">
        <color rgb="FF262140"/>
      </top>
      <bottom/>
      <diagonal/>
    </border>
    <border>
      <left style="thin">
        <color rgb="FF262140"/>
      </left>
      <right/>
      <top/>
      <bottom style="thin">
        <color rgb="FF262140"/>
      </bottom>
      <diagonal/>
    </border>
    <border>
      <left style="thin">
        <color rgb="FF262140"/>
      </left>
      <right style="thin">
        <color rgb="FF262140"/>
      </right>
      <top style="thin">
        <color rgb="FF262140"/>
      </top>
      <bottom/>
      <diagonal/>
    </border>
    <border>
      <left/>
      <right/>
      <top/>
      <bottom style="thin">
        <color rgb="FF262140"/>
      </bottom>
      <diagonal/>
    </border>
    <border>
      <left style="thin">
        <color indexed="64"/>
      </left>
      <right style="thin">
        <color rgb="FF262140"/>
      </right>
      <top style="thin">
        <color rgb="FF262140"/>
      </top>
      <bottom style="thin">
        <color indexed="64"/>
      </bottom>
      <diagonal/>
    </border>
    <border>
      <left style="thin">
        <color rgb="FF262140"/>
      </left>
      <right style="thin">
        <color indexed="64"/>
      </right>
      <top style="thin">
        <color rgb="FF262140"/>
      </top>
      <bottom/>
      <diagonal/>
    </border>
    <border>
      <left style="thin">
        <color rgb="FF262140"/>
      </left>
      <right/>
      <top/>
      <bottom/>
      <diagonal/>
    </border>
    <border>
      <left style="thin">
        <color rgb="FFECBD17"/>
      </left>
      <right style="thin">
        <color rgb="FFECBD17"/>
      </right>
      <top style="thin">
        <color rgb="FFECBD17"/>
      </top>
      <bottom style="thin">
        <color rgb="FFECBD17"/>
      </bottom>
      <diagonal/>
    </border>
    <border>
      <left/>
      <right/>
      <top/>
      <bottom style="thin">
        <color rgb="FFECBD17"/>
      </bottom>
      <diagonal/>
    </border>
    <border>
      <left style="thin">
        <color rgb="FFECBD17"/>
      </left>
      <right style="thin">
        <color rgb="FFECBD17"/>
      </right>
      <top style="thin">
        <color rgb="FFECBD17"/>
      </top>
      <bottom/>
      <diagonal/>
    </border>
    <border>
      <left style="thin">
        <color rgb="FFECBD17"/>
      </left>
      <right style="thin">
        <color rgb="FFECBD17"/>
      </right>
      <top/>
      <bottom/>
      <diagonal/>
    </border>
    <border>
      <left style="thin">
        <color rgb="FFECBD17"/>
      </left>
      <right style="thin">
        <color rgb="FFECBD17"/>
      </right>
      <top/>
      <bottom style="thin">
        <color rgb="FFECBD17"/>
      </bottom>
      <diagonal/>
    </border>
    <border>
      <left style="thin">
        <color rgb="FFECBD17"/>
      </left>
      <right style="thin">
        <color rgb="FFECBD17"/>
      </right>
      <top style="thin">
        <color rgb="FFECBD17"/>
      </top>
      <bottom style="thin">
        <color rgb="FF262140"/>
      </bottom>
      <diagonal/>
    </border>
    <border>
      <left style="thin">
        <color rgb="FFECBD17"/>
      </left>
      <right style="thin">
        <color rgb="FFECBD17"/>
      </right>
      <top/>
      <bottom style="thin">
        <color rgb="FF262140"/>
      </bottom>
      <diagonal/>
    </border>
    <border>
      <left style="thin">
        <color rgb="FFECBD17"/>
      </left>
      <right style="thin">
        <color rgb="FFECBD17"/>
      </right>
      <top style="thin">
        <color rgb="FF262140"/>
      </top>
      <bottom style="thin">
        <color rgb="FFECBD17"/>
      </bottom>
      <diagonal/>
    </border>
    <border>
      <left/>
      <right style="thin">
        <color rgb="FFECBD17"/>
      </right>
      <top/>
      <bottom/>
      <diagonal/>
    </border>
    <border>
      <left style="thin">
        <color rgb="FFECBD17"/>
      </left>
      <right/>
      <top/>
      <bottom style="thin">
        <color rgb="FFECBD17"/>
      </bottom>
      <diagonal/>
    </border>
    <border>
      <left style="thin">
        <color rgb="FFECBD17"/>
      </left>
      <right/>
      <top/>
      <bottom/>
      <diagonal/>
    </border>
    <border>
      <left style="thin">
        <color rgb="FF262140"/>
      </left>
      <right style="thin">
        <color indexed="64"/>
      </right>
      <top/>
      <bottom style="thin">
        <color rgb="FF262140"/>
      </bottom>
      <diagonal/>
    </border>
    <border>
      <left/>
      <right style="thin">
        <color rgb="FFECBD17"/>
      </right>
      <top style="thin">
        <color rgb="FFECBD17"/>
      </top>
      <bottom style="thin">
        <color rgb="FFECBD17"/>
      </bottom>
      <diagonal/>
    </border>
    <border>
      <left style="thin">
        <color rgb="FFECBD17"/>
      </left>
      <right style="thin">
        <color rgb="FFECBD17"/>
      </right>
      <top style="thin">
        <color rgb="FF262140"/>
      </top>
      <bottom/>
      <diagonal/>
    </border>
    <border>
      <left style="thin">
        <color rgb="FFECBD17"/>
      </left>
      <right/>
      <top style="thin">
        <color rgb="FFECBD17"/>
      </top>
      <bottom style="thin">
        <color rgb="FFECBD17"/>
      </bottom>
      <diagonal/>
    </border>
    <border>
      <left/>
      <right/>
      <top style="thin">
        <color rgb="FFECBD17"/>
      </top>
      <bottom style="thin">
        <color rgb="FFECBD17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rgb="FF262140"/>
      </bottom>
      <diagonal/>
    </border>
    <border>
      <left/>
      <right/>
      <top style="thin">
        <color rgb="FFECBD17"/>
      </top>
      <bottom/>
      <diagonal/>
    </border>
    <border>
      <left style="thin">
        <color rgb="FF262140"/>
      </left>
      <right style="thin">
        <color rgb="FFECBD17"/>
      </right>
      <top style="thin">
        <color rgb="FF262140"/>
      </top>
      <bottom style="thin">
        <color rgb="FFECBD17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0" borderId="0" xfId="0" applyFont="1"/>
    <xf numFmtId="0" fontId="5" fillId="0" borderId="0" xfId="0" applyFont="1"/>
    <xf numFmtId="0" fontId="1" fillId="2" borderId="0" xfId="0" applyFont="1" applyFill="1"/>
    <xf numFmtId="0" fontId="2" fillId="0" borderId="7" xfId="0" applyFont="1" applyBorder="1" applyAlignment="1">
      <alignment horizontal="center"/>
    </xf>
    <xf numFmtId="0" fontId="5" fillId="4" borderId="0" xfId="0" applyFont="1" applyFill="1"/>
    <xf numFmtId="0" fontId="6" fillId="4" borderId="0" xfId="0" applyFont="1" applyFill="1" applyBorder="1"/>
    <xf numFmtId="0" fontId="7" fillId="4" borderId="0" xfId="0" applyFont="1" applyFill="1" applyBorder="1"/>
    <xf numFmtId="0" fontId="7" fillId="4" borderId="0" xfId="0" applyFont="1" applyFill="1"/>
    <xf numFmtId="0" fontId="8" fillId="4" borderId="13" xfId="0" applyFont="1" applyFill="1" applyBorder="1"/>
    <xf numFmtId="0" fontId="8" fillId="4" borderId="14" xfId="0" applyFont="1" applyFill="1" applyBorder="1"/>
    <xf numFmtId="0" fontId="8" fillId="4" borderId="12" xfId="0" applyFont="1" applyFill="1" applyBorder="1"/>
    <xf numFmtId="0" fontId="8" fillId="4" borderId="10" xfId="0" applyFont="1" applyFill="1" applyBorder="1"/>
    <xf numFmtId="0" fontId="8" fillId="4" borderId="15" xfId="0" applyFont="1" applyFill="1" applyBorder="1"/>
    <xf numFmtId="0" fontId="8" fillId="4" borderId="16" xfId="0" applyFont="1" applyFill="1" applyBorder="1"/>
    <xf numFmtId="0" fontId="8" fillId="4" borderId="8" xfId="0" applyFont="1" applyFill="1" applyBorder="1"/>
    <xf numFmtId="0" fontId="1" fillId="4" borderId="4" xfId="0" applyFont="1" applyFill="1" applyBorder="1"/>
    <xf numFmtId="0" fontId="1" fillId="4" borderId="0" xfId="0" applyFont="1" applyFill="1"/>
    <xf numFmtId="0" fontId="1" fillId="4" borderId="0" xfId="0" applyFont="1" applyFill="1" applyBorder="1"/>
    <xf numFmtId="0" fontId="9" fillId="4" borderId="0" xfId="0" applyFont="1" applyFill="1" applyBorder="1"/>
    <xf numFmtId="0" fontId="8" fillId="4" borderId="0" xfId="0" applyFont="1" applyFill="1"/>
    <xf numFmtId="0" fontId="1" fillId="3" borderId="5" xfId="0" applyFont="1" applyFill="1" applyBorder="1" applyAlignment="1">
      <alignment horizontal="center"/>
    </xf>
    <xf numFmtId="176" fontId="1" fillId="4" borderId="0" xfId="0" applyNumberFormat="1" applyFont="1" applyFill="1"/>
    <xf numFmtId="176" fontId="1" fillId="3" borderId="0" xfId="0" applyNumberFormat="1" applyFont="1" applyFill="1"/>
    <xf numFmtId="0" fontId="4" fillId="4" borderId="0" xfId="0" applyFont="1" applyFill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0" fillId="4" borderId="0" xfId="0" applyFont="1" applyFill="1"/>
    <xf numFmtId="0" fontId="8" fillId="4" borderId="21" xfId="0" applyFont="1" applyFill="1" applyBorder="1"/>
    <xf numFmtId="0" fontId="8" fillId="4" borderId="8" xfId="0" applyFont="1" applyFill="1" applyBorder="1" applyAlignment="1">
      <alignment horizontal="center"/>
    </xf>
    <xf numFmtId="0" fontId="11" fillId="4" borderId="0" xfId="0" applyFont="1" applyFill="1" applyBorder="1"/>
    <xf numFmtId="0" fontId="12" fillId="4" borderId="0" xfId="0" applyFont="1" applyFill="1"/>
    <xf numFmtId="0" fontId="7" fillId="4" borderId="9" xfId="0" applyFont="1" applyFill="1" applyBorder="1" applyAlignment="1">
      <alignment horizontal="center"/>
    </xf>
    <xf numFmtId="0" fontId="13" fillId="4" borderId="0" xfId="0" applyFont="1" applyFill="1" applyBorder="1"/>
    <xf numFmtId="0" fontId="14" fillId="4" borderId="0" xfId="0" applyFont="1" applyFill="1"/>
    <xf numFmtId="0" fontId="16" fillId="4" borderId="0" xfId="0" applyFont="1" applyFill="1"/>
    <xf numFmtId="0" fontId="17" fillId="4" borderId="0" xfId="0" applyFont="1" applyFill="1"/>
    <xf numFmtId="0" fontId="1" fillId="3" borderId="24" xfId="0" applyFont="1" applyFill="1" applyBorder="1" applyAlignment="1">
      <alignment horizontal="center"/>
    </xf>
    <xf numFmtId="9" fontId="1" fillId="3" borderId="7" xfId="0" applyNumberFormat="1" applyFont="1" applyFill="1" applyBorder="1" applyAlignment="1">
      <alignment horizontal="center"/>
    </xf>
    <xf numFmtId="9" fontId="1" fillId="3" borderId="2" xfId="0" applyNumberFormat="1" applyFont="1" applyFill="1" applyBorder="1" applyAlignment="1">
      <alignment horizontal="center"/>
    </xf>
    <xf numFmtId="0" fontId="1" fillId="3" borderId="25" xfId="0" applyFont="1" applyFill="1" applyBorder="1" applyAlignment="1">
      <alignment horizontal="center"/>
    </xf>
    <xf numFmtId="0" fontId="7" fillId="4" borderId="18" xfId="0" applyFont="1" applyFill="1" applyBorder="1"/>
    <xf numFmtId="0" fontId="7" fillId="4" borderId="26" xfId="0" applyFont="1" applyFill="1" applyBorder="1"/>
    <xf numFmtId="9" fontId="1" fillId="3" borderId="27" xfId="0" applyNumberFormat="1" applyFont="1" applyFill="1" applyBorder="1" applyAlignment="1">
      <alignment horizontal="center"/>
    </xf>
    <xf numFmtId="0" fontId="8" fillId="4" borderId="10" xfId="0" applyFont="1" applyFill="1" applyBorder="1" applyAlignment="1">
      <alignment horizontal="center" wrapText="1"/>
    </xf>
    <xf numFmtId="0" fontId="8" fillId="4" borderId="11" xfId="0" applyFont="1" applyFill="1" applyBorder="1" applyAlignment="1">
      <alignment horizontal="center" wrapText="1"/>
    </xf>
    <xf numFmtId="0" fontId="8" fillId="4" borderId="12" xfId="0" applyFont="1" applyFill="1" applyBorder="1" applyAlignment="1">
      <alignment horizontal="center" wrapText="1"/>
    </xf>
    <xf numFmtId="0" fontId="8" fillId="4" borderId="10" xfId="0" applyFont="1" applyFill="1" applyBorder="1" applyAlignment="1">
      <alignment horizontal="left" vertical="center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5" fillId="4" borderId="22" xfId="0" applyFont="1" applyFill="1" applyBorder="1" applyAlignment="1">
      <alignment horizontal="center" vertical="center"/>
    </xf>
    <xf numFmtId="0" fontId="15" fillId="4" borderId="23" xfId="0" applyFont="1" applyFill="1" applyBorder="1" applyAlignment="1">
      <alignment horizontal="center" vertical="center"/>
    </xf>
    <xf numFmtId="0" fontId="15" fillId="4" borderId="20" xfId="0" applyFont="1" applyFill="1" applyBorder="1" applyAlignment="1">
      <alignment horizontal="center" vertical="center"/>
    </xf>
    <xf numFmtId="0" fontId="8" fillId="4" borderId="18" xfId="0" applyFont="1" applyFill="1" applyBorder="1" applyAlignment="1">
      <alignment horizontal="center" vertical="center"/>
    </xf>
    <xf numFmtId="0" fontId="8" fillId="4" borderId="17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8" fillId="4" borderId="12" xfId="0" applyFont="1" applyFill="1" applyBorder="1" applyAlignment="1">
      <alignment horizontal="center" vertical="center" wrapText="1"/>
    </xf>
    <xf numFmtId="1" fontId="1" fillId="0" borderId="0" xfId="0" applyNumberFormat="1" applyFont="1"/>
    <xf numFmtId="177" fontId="1" fillId="0" borderId="0" xfId="0" applyNumberFormat="1" applyFont="1"/>
  </cellXfs>
  <cellStyles count="1">
    <cellStyle name="常规" xfId="0" builtinId="0"/>
  </cellStyles>
  <dxfs count="0"/>
  <tableStyles count="1" defaultTableStyle="TableStyleMedium2" defaultPivotStyle="PivotStyleLight16">
    <tableStyle name="Invisible" pivot="0" table="0" count="0" xr9:uid="{CDB5B420-F929-4915-A100-68C286F65787}"/>
  </tableStyles>
  <colors>
    <mruColors>
      <color rgb="FFECBD17"/>
      <color rgb="FF262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0</xdr:row>
      <xdr:rowOff>333375</xdr:rowOff>
    </xdr:from>
    <xdr:to>
      <xdr:col>4</xdr:col>
      <xdr:colOff>609600</xdr:colOff>
      <xdr:row>2</xdr:row>
      <xdr:rowOff>57150</xdr:rowOff>
    </xdr:to>
    <xdr:sp macro="[0]!SLA_Model" textlink="">
      <xdr:nvSpPr>
        <xdr:cNvPr id="2" name="Rectangle 1">
          <a:extLst>
            <a:ext uri="{FF2B5EF4-FFF2-40B4-BE49-F238E27FC236}">
              <a16:creationId xmlns:a16="http://schemas.microsoft.com/office/drawing/2014/main" id="{E9BE7498-C3D7-4E70-8ED8-8976D0610B82}"/>
            </a:ext>
          </a:extLst>
        </xdr:cNvPr>
        <xdr:cNvSpPr/>
      </xdr:nvSpPr>
      <xdr:spPr>
        <a:xfrm>
          <a:off x="4981575" y="333375"/>
          <a:ext cx="1076325" cy="323850"/>
        </a:xfrm>
        <a:prstGeom prst="rect">
          <a:avLst/>
        </a:prstGeom>
        <a:solidFill>
          <a:srgbClr val="ECBD17"/>
        </a:solidFill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 b="1">
              <a:solidFill>
                <a:srgbClr val="262140"/>
              </a:solidFill>
            </a:rPr>
            <a:t>Run the model</a:t>
          </a:r>
        </a:p>
        <a:p>
          <a:pPr algn="l"/>
          <a:endParaRPr lang="zh-CN" alt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69B73-D2D0-4402-9FC9-27E58F2046BB}">
  <sheetPr codeName="Sheet3">
    <tabColor rgb="FFC00000"/>
  </sheetPr>
  <dimension ref="A1:C91"/>
  <sheetViews>
    <sheetView topLeftCell="A16" workbookViewId="0">
      <selection activeCell="C28" sqref="C28"/>
    </sheetView>
  </sheetViews>
  <sheetFormatPr defaultRowHeight="13.5" x14ac:dyDescent="0.15"/>
  <cols>
    <col min="1" max="1" width="23.125" style="30" customWidth="1"/>
    <col min="2" max="2" width="22.625" style="30" bestFit="1" customWidth="1"/>
    <col min="3" max="3" width="71.875" style="30" bestFit="1" customWidth="1"/>
    <col min="4" max="4" width="49.875" style="30" bestFit="1" customWidth="1"/>
    <col min="5" max="16384" width="9" style="30"/>
  </cols>
  <sheetData>
    <row r="1" spans="1:3" ht="18.75" x14ac:dyDescent="0.3">
      <c r="A1" s="6" t="s">
        <v>42</v>
      </c>
    </row>
    <row r="2" spans="1:3" ht="18.75" x14ac:dyDescent="0.3">
      <c r="A2" s="6"/>
    </row>
    <row r="3" spans="1:3" ht="26.25" x14ac:dyDescent="0.4">
      <c r="A3" s="33" t="s">
        <v>14</v>
      </c>
    </row>
    <row r="4" spans="1:3" ht="18.75" x14ac:dyDescent="0.3">
      <c r="A4" s="36" t="s">
        <v>69</v>
      </c>
    </row>
    <row r="5" spans="1:3" ht="18.75" x14ac:dyDescent="0.3">
      <c r="A5" s="6" t="str">
        <f>"There are currently two modes available." &amp; Instruction!$B$12 &amp;" and " &amp;Instruction!$B$13</f>
        <v>There are currently two modes available.A single deterministic run and stochastic runs</v>
      </c>
    </row>
    <row r="6" spans="1:3" ht="18.75" x14ac:dyDescent="0.3">
      <c r="A6" s="6" t="s">
        <v>26</v>
      </c>
    </row>
    <row r="7" spans="1:3" ht="18.75" x14ac:dyDescent="0.3">
      <c r="A7" s="6" t="s">
        <v>29</v>
      </c>
    </row>
    <row r="10" spans="1:3" ht="21" x14ac:dyDescent="0.35">
      <c r="A10" s="37" t="s">
        <v>68</v>
      </c>
    </row>
    <row r="11" spans="1:3" ht="18.75" x14ac:dyDescent="0.3">
      <c r="A11" s="35" t="s">
        <v>30</v>
      </c>
      <c r="B11" s="35" t="s">
        <v>21</v>
      </c>
      <c r="C11" s="35" t="s">
        <v>24</v>
      </c>
    </row>
    <row r="12" spans="1:3" ht="15" x14ac:dyDescent="0.25">
      <c r="A12" s="56" t="s">
        <v>22</v>
      </c>
      <c r="B12" s="10" t="s">
        <v>11</v>
      </c>
      <c r="C12" s="14" t="s">
        <v>27</v>
      </c>
    </row>
    <row r="13" spans="1:3" ht="15" x14ac:dyDescent="0.25">
      <c r="A13" s="57"/>
      <c r="B13" s="13" t="s">
        <v>12</v>
      </c>
      <c r="C13" s="15" t="s">
        <v>28</v>
      </c>
    </row>
    <row r="14" spans="1:3" ht="15" x14ac:dyDescent="0.15">
      <c r="A14" s="53" t="s">
        <v>50</v>
      </c>
      <c r="B14" s="54"/>
      <c r="C14" s="55"/>
    </row>
    <row r="15" spans="1:3" ht="13.5" customHeight="1" x14ac:dyDescent="0.25">
      <c r="A15" s="32" t="s">
        <v>31</v>
      </c>
      <c r="B15" s="15" t="s">
        <v>32</v>
      </c>
      <c r="C15" s="15" t="s">
        <v>33</v>
      </c>
    </row>
    <row r="16" spans="1:3" ht="15" x14ac:dyDescent="0.25">
      <c r="A16" s="32" t="str">
        <f>IF(UPPER(B13)="STOCHASTIC RUNS", "Heathy proportion", "")</f>
        <v>Heathy proportion</v>
      </c>
      <c r="B16" s="47" t="s">
        <v>34</v>
      </c>
      <c r="C16" s="50" t="s">
        <v>41</v>
      </c>
    </row>
    <row r="17" spans="1:3" ht="15" x14ac:dyDescent="0.25">
      <c r="A17" s="32" t="str">
        <f>IF(UPPER(B13)="STOCHASTIC RUNS", "Sick proportion", "")</f>
        <v>Sick proportion</v>
      </c>
      <c r="B17" s="48"/>
      <c r="C17" s="51"/>
    </row>
    <row r="18" spans="1:3" ht="15" x14ac:dyDescent="0.25">
      <c r="A18" s="32" t="str">
        <f>IF(UPPER(B13)="STOCHASTIC RUNS", "Heavily Sick proportion", "")</f>
        <v>Heavily Sick proportion</v>
      </c>
      <c r="B18" s="49"/>
      <c r="C18" s="52"/>
    </row>
    <row r="19" spans="1:3" ht="13.5" customHeight="1" x14ac:dyDescent="0.25">
      <c r="A19" s="58" t="s">
        <v>23</v>
      </c>
      <c r="B19" s="12" t="s">
        <v>18</v>
      </c>
      <c r="C19" s="14" t="s">
        <v>35</v>
      </c>
    </row>
    <row r="20" spans="1:3" ht="13.5" customHeight="1" x14ac:dyDescent="0.25">
      <c r="A20" s="59"/>
      <c r="B20" s="31" t="s">
        <v>15</v>
      </c>
      <c r="C20" s="15" t="s">
        <v>36</v>
      </c>
    </row>
    <row r="21" spans="1:3" ht="13.5" customHeight="1" x14ac:dyDescent="0.25">
      <c r="A21" s="59"/>
      <c r="B21" s="10" t="s">
        <v>17</v>
      </c>
      <c r="C21" s="14" t="s">
        <v>37</v>
      </c>
    </row>
    <row r="22" spans="1:3" ht="13.5" customHeight="1" x14ac:dyDescent="0.25">
      <c r="A22" s="59"/>
      <c r="B22" s="9" t="s">
        <v>19</v>
      </c>
      <c r="C22" s="15" t="s">
        <v>38</v>
      </c>
    </row>
    <row r="23" spans="1:3" ht="13.5" customHeight="1" x14ac:dyDescent="0.25">
      <c r="A23" s="59"/>
      <c r="B23" s="10" t="s">
        <v>20</v>
      </c>
      <c r="C23" s="14" t="s">
        <v>39</v>
      </c>
    </row>
    <row r="24" spans="1:3" ht="13.5" customHeight="1" x14ac:dyDescent="0.25">
      <c r="A24" s="60"/>
      <c r="B24" s="11" t="s">
        <v>16</v>
      </c>
      <c r="C24" s="15" t="s">
        <v>40</v>
      </c>
    </row>
    <row r="27" spans="1:3" ht="21" x14ac:dyDescent="0.35">
      <c r="A27" s="37" t="s">
        <v>70</v>
      </c>
    </row>
    <row r="28" spans="1:3" ht="15.75" x14ac:dyDescent="0.25">
      <c r="A28" s="38" t="s">
        <v>71</v>
      </c>
    </row>
    <row r="29" spans="1:3" ht="15.75" x14ac:dyDescent="0.25">
      <c r="A29" s="38" t="s">
        <v>72</v>
      </c>
    </row>
    <row r="30" spans="1:3" ht="15.75" x14ac:dyDescent="0.25">
      <c r="A30" s="39" t="s">
        <v>73</v>
      </c>
    </row>
    <row r="31" spans="1:3" ht="21" x14ac:dyDescent="0.35">
      <c r="A31" s="37"/>
    </row>
    <row r="33" spans="1:1" ht="26.25" x14ac:dyDescent="0.4">
      <c r="A33" s="33" t="s">
        <v>74</v>
      </c>
    </row>
    <row r="34" spans="1:1" s="20" customFormat="1" ht="15.75" x14ac:dyDescent="0.25">
      <c r="A34" s="39" t="s">
        <v>82</v>
      </c>
    </row>
    <row r="35" spans="1:1" s="20" customFormat="1" ht="21" x14ac:dyDescent="0.35">
      <c r="A35" s="37" t="s">
        <v>51</v>
      </c>
    </row>
    <row r="36" spans="1:1" s="20" customFormat="1" ht="15" x14ac:dyDescent="0.25">
      <c r="A36" s="20" t="s">
        <v>52</v>
      </c>
    </row>
    <row r="37" spans="1:1" s="20" customFormat="1" ht="15" x14ac:dyDescent="0.25"/>
    <row r="38" spans="1:1" s="20" customFormat="1" ht="21" x14ac:dyDescent="0.35">
      <c r="A38" s="37" t="s">
        <v>75</v>
      </c>
    </row>
    <row r="39" spans="1:1" s="20" customFormat="1" ht="15" x14ac:dyDescent="0.25">
      <c r="A39" s="20" t="s">
        <v>53</v>
      </c>
    </row>
    <row r="40" spans="1:1" s="20" customFormat="1" ht="15" x14ac:dyDescent="0.25"/>
    <row r="41" spans="1:1" s="20" customFormat="1" ht="21" x14ac:dyDescent="0.35">
      <c r="A41" s="37" t="s">
        <v>76</v>
      </c>
    </row>
    <row r="42" spans="1:1" s="20" customFormat="1" ht="15" x14ac:dyDescent="0.25">
      <c r="A42" s="20" t="s">
        <v>54</v>
      </c>
    </row>
    <row r="43" spans="1:1" s="20" customFormat="1" ht="15" x14ac:dyDescent="0.25">
      <c r="A43" s="20" t="s">
        <v>57</v>
      </c>
    </row>
    <row r="44" spans="1:1" s="20" customFormat="1" ht="15" x14ac:dyDescent="0.25">
      <c r="A44" s="20" t="s">
        <v>55</v>
      </c>
    </row>
    <row r="45" spans="1:1" s="20" customFormat="1" ht="15" x14ac:dyDescent="0.25">
      <c r="A45" s="20" t="s">
        <v>56</v>
      </c>
    </row>
    <row r="46" spans="1:1" s="20" customFormat="1" ht="15" x14ac:dyDescent="0.25"/>
    <row r="47" spans="1:1" s="20" customFormat="1" ht="21" x14ac:dyDescent="0.35">
      <c r="A47" s="37" t="s">
        <v>45</v>
      </c>
    </row>
    <row r="48" spans="1:1" s="20" customFormat="1" ht="15" x14ac:dyDescent="0.25">
      <c r="A48" s="20" t="s">
        <v>46</v>
      </c>
    </row>
    <row r="49" spans="1:2" s="20" customFormat="1" ht="15" x14ac:dyDescent="0.25">
      <c r="A49" s="20" t="s">
        <v>58</v>
      </c>
    </row>
    <row r="50" spans="1:2" s="20" customFormat="1" ht="15" x14ac:dyDescent="0.25">
      <c r="A50" s="20" t="s">
        <v>60</v>
      </c>
    </row>
    <row r="51" spans="1:2" s="20" customFormat="1" ht="15" x14ac:dyDescent="0.25">
      <c r="A51" s="20" t="s">
        <v>61</v>
      </c>
    </row>
    <row r="52" spans="1:2" s="20" customFormat="1" ht="15" x14ac:dyDescent="0.25"/>
    <row r="53" spans="1:2" s="20" customFormat="1" ht="21" x14ac:dyDescent="0.35">
      <c r="A53" s="37" t="s">
        <v>44</v>
      </c>
    </row>
    <row r="54" spans="1:2" s="20" customFormat="1" ht="15" x14ac:dyDescent="0.25">
      <c r="A54" s="20" t="s">
        <v>47</v>
      </c>
    </row>
    <row r="55" spans="1:2" s="20" customFormat="1" ht="15" x14ac:dyDescent="0.25">
      <c r="A55" s="20" t="s">
        <v>58</v>
      </c>
    </row>
    <row r="56" spans="1:2" s="20" customFormat="1" ht="15" x14ac:dyDescent="0.25">
      <c r="A56" s="20" t="s">
        <v>59</v>
      </c>
    </row>
    <row r="57" spans="1:2" s="20" customFormat="1" ht="15" x14ac:dyDescent="0.25">
      <c r="A57" s="20" t="s">
        <v>62</v>
      </c>
    </row>
    <row r="58" spans="1:2" s="20" customFormat="1" ht="15" x14ac:dyDescent="0.25">
      <c r="B58" s="20" t="s">
        <v>77</v>
      </c>
    </row>
    <row r="59" spans="1:2" s="20" customFormat="1" ht="15" x14ac:dyDescent="0.25">
      <c r="A59" s="20" t="s">
        <v>63</v>
      </c>
    </row>
    <row r="60" spans="1:2" s="20" customFormat="1" ht="15" x14ac:dyDescent="0.25"/>
    <row r="61" spans="1:2" s="20" customFormat="1" ht="21" x14ac:dyDescent="0.35">
      <c r="A61" s="37" t="s">
        <v>43</v>
      </c>
    </row>
    <row r="62" spans="1:2" s="20" customFormat="1" ht="15" x14ac:dyDescent="0.25">
      <c r="A62" s="20" t="s">
        <v>64</v>
      </c>
    </row>
    <row r="63" spans="1:2" s="20" customFormat="1" ht="15" x14ac:dyDescent="0.25"/>
    <row r="64" spans="1:2" s="20" customFormat="1" ht="21" x14ac:dyDescent="0.35">
      <c r="A64" s="37" t="s">
        <v>65</v>
      </c>
    </row>
    <row r="65" spans="1:1" s="20" customFormat="1" ht="15" x14ac:dyDescent="0.25">
      <c r="A65" s="20" t="s">
        <v>66</v>
      </c>
    </row>
    <row r="66" spans="1:1" s="20" customFormat="1" ht="15" x14ac:dyDescent="0.25">
      <c r="A66" s="20" t="s">
        <v>67</v>
      </c>
    </row>
    <row r="67" spans="1:1" s="20" customFormat="1" ht="15" x14ac:dyDescent="0.25"/>
    <row r="68" spans="1:1" s="20" customFormat="1" ht="15" x14ac:dyDescent="0.25"/>
    <row r="69" spans="1:1" s="20" customFormat="1" ht="26.25" x14ac:dyDescent="0.4">
      <c r="A69" s="33" t="s">
        <v>79</v>
      </c>
    </row>
    <row r="70" spans="1:1" s="20" customFormat="1" ht="15" x14ac:dyDescent="0.25">
      <c r="A70" s="20" t="s">
        <v>80</v>
      </c>
    </row>
    <row r="71" spans="1:1" s="20" customFormat="1" ht="15" x14ac:dyDescent="0.25">
      <c r="A71" s="20" t="s">
        <v>81</v>
      </c>
    </row>
    <row r="72" spans="1:1" s="20" customFormat="1" ht="15" x14ac:dyDescent="0.25"/>
    <row r="73" spans="1:1" s="20" customFormat="1" ht="15" x14ac:dyDescent="0.25"/>
    <row r="74" spans="1:1" s="20" customFormat="1" ht="15" x14ac:dyDescent="0.25"/>
    <row r="75" spans="1:1" s="20" customFormat="1" ht="15" x14ac:dyDescent="0.25"/>
    <row r="76" spans="1:1" s="20" customFormat="1" ht="15" x14ac:dyDescent="0.25"/>
    <row r="77" spans="1:1" s="20" customFormat="1" ht="15" x14ac:dyDescent="0.25"/>
    <row r="78" spans="1:1" s="20" customFormat="1" ht="15" x14ac:dyDescent="0.25"/>
    <row r="79" spans="1:1" s="20" customFormat="1" ht="15" x14ac:dyDescent="0.25"/>
    <row r="80" spans="1:1" s="20" customFormat="1" ht="15" x14ac:dyDescent="0.25"/>
    <row r="81" s="20" customFormat="1" ht="15" x14ac:dyDescent="0.25"/>
    <row r="82" s="20" customFormat="1" ht="15" x14ac:dyDescent="0.25"/>
    <row r="83" s="20" customFormat="1" ht="15" x14ac:dyDescent="0.25"/>
    <row r="84" s="20" customFormat="1" ht="15" x14ac:dyDescent="0.25"/>
    <row r="85" s="20" customFormat="1" ht="15" x14ac:dyDescent="0.25"/>
    <row r="86" s="20" customFormat="1" ht="15" x14ac:dyDescent="0.25"/>
    <row r="87" s="20" customFormat="1" ht="15" x14ac:dyDescent="0.25"/>
    <row r="88" s="20" customFormat="1" ht="15" x14ac:dyDescent="0.25"/>
    <row r="89" s="20" customFormat="1" ht="15" x14ac:dyDescent="0.25"/>
    <row r="90" s="20" customFormat="1" ht="15" x14ac:dyDescent="0.25"/>
    <row r="91" s="20" customFormat="1" ht="15" x14ac:dyDescent="0.25"/>
  </sheetData>
  <sheetProtection algorithmName="SHA-512" hashValue="36fWRq0URuXP93geOSLNENjlE77tNa7TAzYL7F4LTZohRnLh+hlIANj8Fi9vN/stprUyaR9WqUxtTIGKTzqlXQ==" saltValue="SIPN0RBizsgdYCFYv+fxSw==" spinCount="100000" sheet="1" objects="1" scenarios="1"/>
  <mergeCells count="5">
    <mergeCell ref="B16:B18"/>
    <mergeCell ref="C16:C18"/>
    <mergeCell ref="A14:C14"/>
    <mergeCell ref="A12:A13"/>
    <mergeCell ref="A19:A24"/>
  </mergeCells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29D0-D816-41B9-BB2A-095C43CC505E}">
  <sheetPr codeName="markov_parameters">
    <tabColor rgb="FF262140"/>
  </sheetPr>
  <dimension ref="A1:X27"/>
  <sheetViews>
    <sheetView showGridLines="0" workbookViewId="0">
      <selection activeCell="E8" sqref="E8"/>
    </sheetView>
  </sheetViews>
  <sheetFormatPr defaultRowHeight="15" x14ac:dyDescent="0.25"/>
  <cols>
    <col min="1" max="1" width="20.75" style="1" customWidth="1"/>
    <col min="2" max="2" width="23" style="1" customWidth="1"/>
    <col min="3" max="3" width="18.75" style="1" customWidth="1"/>
    <col min="4" max="4" width="9" style="1"/>
    <col min="5" max="5" width="30.375" style="1" customWidth="1"/>
    <col min="6" max="6" width="19" style="1" bestFit="1" customWidth="1"/>
    <col min="7" max="7" width="22.625" style="1" bestFit="1" customWidth="1"/>
    <col min="8" max="8" width="59.75" style="1" customWidth="1"/>
    <col min="9" max="9" width="26.25" style="1" customWidth="1"/>
    <col min="10" max="16384" width="9" style="1"/>
  </cols>
  <sheetData>
    <row r="1" spans="1:24" s="2" customFormat="1" ht="28.5" x14ac:dyDescent="0.45">
      <c r="A1" s="19" t="s">
        <v>13</v>
      </c>
      <c r="B1" s="16"/>
      <c r="C1" s="17"/>
      <c r="D1" s="5"/>
      <c r="E1" s="5"/>
      <c r="F1" s="8"/>
      <c r="G1" s="8"/>
      <c r="H1" s="8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s="2" customFormat="1" ht="18.75" x14ac:dyDescent="0.3">
      <c r="A2" s="26" t="s">
        <v>10</v>
      </c>
      <c r="B2" s="21" t="s">
        <v>11</v>
      </c>
      <c r="C2" s="20"/>
      <c r="D2" s="8"/>
      <c r="E2" s="8"/>
      <c r="F2" s="8"/>
      <c r="G2" s="8"/>
      <c r="H2" s="8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s="2" customFormat="1" ht="18.75" x14ac:dyDescent="0.3">
      <c r="A3" s="27" t="str">
        <f>IF(UPPER(B2)="STOCHASTIC RUNS", "Number of simulations", "")</f>
        <v/>
      </c>
      <c r="B3" s="40">
        <v>100</v>
      </c>
      <c r="C3" s="61" t="s">
        <v>78</v>
      </c>
      <c r="D3" s="8"/>
      <c r="E3" s="8"/>
      <c r="F3" s="8"/>
      <c r="G3" s="8"/>
      <c r="H3" s="8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</row>
    <row r="4" spans="1:24" s="2" customFormat="1" ht="18.75" x14ac:dyDescent="0.3">
      <c r="A4" s="25" t="str">
        <f>IF(UPPER(B2)="STOCHASTIC RUNS", "Heathy proportion", "")</f>
        <v/>
      </c>
      <c r="B4" s="46">
        <v>0.2</v>
      </c>
      <c r="C4" s="62"/>
      <c r="D4" s="7"/>
      <c r="E4" s="8"/>
      <c r="F4" s="8"/>
      <c r="G4" s="8"/>
      <c r="H4" s="8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 spans="1:24" s="2" customFormat="1" ht="18.75" x14ac:dyDescent="0.3">
      <c r="A5" s="4" t="str">
        <f>IF(UPPER(B2)="STOCHASTIC RUNS", "Sick proportion", "")</f>
        <v/>
      </c>
      <c r="B5" s="41">
        <v>0.3</v>
      </c>
      <c r="C5" s="62"/>
      <c r="D5" s="8"/>
      <c r="E5" s="8"/>
      <c r="F5" s="8"/>
      <c r="G5" s="8"/>
      <c r="H5" s="8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</row>
    <row r="6" spans="1:24" s="2" customFormat="1" ht="18.75" x14ac:dyDescent="0.3">
      <c r="A6" s="29" t="str">
        <f>IF(UPPER(B2)="STOCHASTIC RUNS", "Heavily Sick proportion", "")</f>
        <v/>
      </c>
      <c r="B6" s="42">
        <f>1-B4-B5</f>
        <v>0.5</v>
      </c>
      <c r="C6" s="62"/>
      <c r="D6" s="44"/>
      <c r="E6" s="8"/>
      <c r="F6" s="8"/>
      <c r="G6" s="8"/>
      <c r="H6" s="8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</row>
    <row r="7" spans="1:24" s="2" customFormat="1" ht="18.75" x14ac:dyDescent="0.3">
      <c r="A7" s="28" t="str">
        <f>IF(UPPER(B2)="STOCHASTIC RUNS", "Type of chart ", "")</f>
        <v/>
      </c>
      <c r="B7" s="43" t="s">
        <v>15</v>
      </c>
      <c r="C7" s="63"/>
      <c r="D7" s="8"/>
      <c r="E7" s="8"/>
      <c r="F7" s="8"/>
      <c r="G7" s="8"/>
      <c r="H7" s="8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</row>
    <row r="8" spans="1:24" s="2" customFormat="1" ht="18.75" x14ac:dyDescent="0.3">
      <c r="A8" s="7"/>
      <c r="B8" s="7"/>
      <c r="C8" s="45"/>
      <c r="D8" s="8"/>
      <c r="E8" s="7"/>
      <c r="F8" s="8"/>
      <c r="G8" s="8"/>
      <c r="H8" s="8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 spans="1:24" s="2" customFormat="1" ht="18.75" x14ac:dyDescent="0.3">
      <c r="A9" s="7"/>
      <c r="B9" s="7"/>
      <c r="C9" s="17"/>
      <c r="D9" s="8"/>
      <c r="E9" s="8"/>
      <c r="F9" s="8"/>
      <c r="G9" s="8"/>
      <c r="H9" s="8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</row>
    <row r="10" spans="1:24" x14ac:dyDescent="0.25">
      <c r="A10" s="17"/>
      <c r="B10" s="17"/>
      <c r="C10" s="17"/>
      <c r="D10" s="17"/>
      <c r="E10" s="17"/>
      <c r="F10" s="18"/>
      <c r="G10" s="17"/>
      <c r="H10" s="18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</row>
    <row r="11" spans="1:24" x14ac:dyDescent="0.25">
      <c r="A11" s="17"/>
      <c r="B11" s="17"/>
      <c r="C11" s="17"/>
      <c r="D11" s="17"/>
      <c r="E11" s="18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</row>
    <row r="12" spans="1:24" x14ac:dyDescent="0.25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</row>
    <row r="13" spans="1:24" x14ac:dyDescent="0.25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</row>
    <row r="14" spans="1:24" x14ac:dyDescent="0.25">
      <c r="A14" s="17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</row>
    <row r="15" spans="1:24" x14ac:dyDescent="0.25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</row>
    <row r="16" spans="1:24" x14ac:dyDescent="0.25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</row>
    <row r="17" spans="1:24" x14ac:dyDescent="0.25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</row>
    <row r="18" spans="1:24" x14ac:dyDescent="0.25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</row>
    <row r="19" spans="1:24" ht="21.75" customHeight="1" x14ac:dyDescent="0.25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</row>
    <row r="20" spans="1:24" s="17" customFormat="1" x14ac:dyDescent="0.25">
      <c r="B20" s="17" t="s">
        <v>25</v>
      </c>
    </row>
    <row r="21" spans="1:24" s="17" customFormat="1" x14ac:dyDescent="0.25"/>
    <row r="22" spans="1:24" s="17" customFormat="1" x14ac:dyDescent="0.25"/>
    <row r="23" spans="1:24" s="17" customFormat="1" x14ac:dyDescent="0.25"/>
    <row r="24" spans="1:24" s="17" customFormat="1" x14ac:dyDescent="0.25"/>
    <row r="25" spans="1:24" s="17" customFormat="1" x14ac:dyDescent="0.25"/>
    <row r="26" spans="1:24" s="17" customFormat="1" x14ac:dyDescent="0.25"/>
    <row r="27" spans="1:24" s="17" customFormat="1" x14ac:dyDescent="0.25"/>
  </sheetData>
  <mergeCells count="1">
    <mergeCell ref="C3:C7"/>
  </mergeCells>
  <phoneticPr fontId="3" type="noConversion"/>
  <dataValidations count="2">
    <dataValidation type="whole" allowBlank="1" showInputMessage="1" showErrorMessage="1" errorTitle="Alert" error="You can only run 1 to 1000 simulaions." sqref="B3" xr:uid="{F079BBE7-9463-498A-845C-0743308CE07A}">
      <formula1>1</formula1>
      <formula2>1000</formula2>
    </dataValidation>
    <dataValidation type="decimal" allowBlank="1" showInputMessage="1" showErrorMessage="1" errorTitle="Alert" error="The distribution proportion need to be between 0 and 1" sqref="B4:B6" xr:uid="{4368714E-0DC4-4A9A-9A8F-59B0D266291A}">
      <formula1>0</formula1>
      <formula2>1</formula2>
    </dataValidation>
  </dataValidations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lert" error="You can only choose from dropdown menus" xr:uid="{3BC7A9AC-765A-4F84-B30C-F8557546904A}">
          <x14:formula1>
            <xm:f>Instruction!$B$19:$B$24</xm:f>
          </x14:formula1>
          <xm:sqref>B7</xm:sqref>
        </x14:dataValidation>
        <x14:dataValidation type="list" allowBlank="1" showInputMessage="1" showErrorMessage="1" errorTitle="Alert" error="You can only choose between &quot;stochastic  runs&quot; and &quot;A deterministic run&quot;" xr:uid="{175BB8F6-1485-4388-B1C2-0A58785C96F7}">
          <x14:formula1>
            <xm:f>Instruction!B12:B13</xm:f>
          </x14:formula1>
          <xm:sqref>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rkov_tr">
    <tabColor rgb="FF262140"/>
  </sheetPr>
  <dimension ref="A1:Q51"/>
  <sheetViews>
    <sheetView zoomScale="102" workbookViewId="0">
      <selection activeCell="B7" sqref="B7"/>
    </sheetView>
  </sheetViews>
  <sheetFormatPr defaultRowHeight="15" x14ac:dyDescent="0.25"/>
  <cols>
    <col min="1" max="1" width="6.875" style="3" customWidth="1"/>
    <col min="2" max="9" width="11.875" style="3" customWidth="1"/>
    <col min="10" max="10" width="3" style="3" customWidth="1"/>
    <col min="11" max="16384" width="9" style="3"/>
  </cols>
  <sheetData>
    <row r="1" spans="1:17" x14ac:dyDescent="0.25">
      <c r="A1" s="20"/>
      <c r="B1" s="20" t="s">
        <v>9</v>
      </c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</row>
    <row r="2" spans="1:17" x14ac:dyDescent="0.25">
      <c r="A2" s="20"/>
      <c r="B2" s="34" t="s">
        <v>48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</row>
    <row r="3" spans="1:17" x14ac:dyDescent="0.25">
      <c r="A3" s="20"/>
      <c r="B3" s="34" t="s">
        <v>49</v>
      </c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</row>
    <row r="4" spans="1:17" x14ac:dyDescent="0.25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17"/>
      <c r="N4" s="20"/>
      <c r="O4" s="20"/>
      <c r="P4" s="20"/>
      <c r="Q4" s="20"/>
    </row>
    <row r="5" spans="1:17" x14ac:dyDescent="0.25">
      <c r="A5" s="24" t="s">
        <v>0</v>
      </c>
      <c r="B5" s="24" t="s">
        <v>1</v>
      </c>
      <c r="C5" s="24" t="s">
        <v>2</v>
      </c>
      <c r="D5" s="24" t="s">
        <v>3</v>
      </c>
      <c r="E5" s="24" t="s">
        <v>4</v>
      </c>
      <c r="F5" s="24" t="s">
        <v>5</v>
      </c>
      <c r="G5" s="24" t="s">
        <v>6</v>
      </c>
      <c r="H5" s="24" t="s">
        <v>7</v>
      </c>
      <c r="I5" s="24" t="s">
        <v>8</v>
      </c>
      <c r="J5" s="22"/>
      <c r="K5" s="20"/>
      <c r="L5" s="17"/>
      <c r="M5" s="17"/>
      <c r="N5" s="17"/>
      <c r="O5" s="17"/>
      <c r="P5" s="17"/>
      <c r="Q5" s="17"/>
    </row>
    <row r="6" spans="1:17" x14ac:dyDescent="0.25">
      <c r="A6" s="24">
        <v>65</v>
      </c>
      <c r="B6" s="23">
        <v>0.06</v>
      </c>
      <c r="C6" s="23">
        <v>1.2E-2</v>
      </c>
      <c r="D6" s="23">
        <v>1.1394E-2</v>
      </c>
      <c r="E6" s="23">
        <v>0.2</v>
      </c>
      <c r="F6" s="23">
        <v>2.4E-2</v>
      </c>
      <c r="G6" s="23">
        <v>1.7092E-2</v>
      </c>
      <c r="H6" s="23">
        <v>0.15</v>
      </c>
      <c r="I6" s="23">
        <v>2.1364999999999999E-2</v>
      </c>
      <c r="J6" s="22"/>
      <c r="K6" s="17"/>
      <c r="L6" s="17"/>
      <c r="M6" s="17"/>
      <c r="N6" s="17"/>
      <c r="O6" s="17"/>
      <c r="P6" s="17"/>
      <c r="Q6" s="17"/>
    </row>
    <row r="7" spans="1:17" x14ac:dyDescent="0.25">
      <c r="A7" s="24">
        <f t="shared" ref="A7:A50" si="0">+A6+1</f>
        <v>66</v>
      </c>
      <c r="B7" s="23">
        <v>6.8000000000000005E-2</v>
      </c>
      <c r="C7" s="23">
        <v>1.3599999999999999E-2</v>
      </c>
      <c r="D7" s="23">
        <v>1.2751999999999999E-2</v>
      </c>
      <c r="E7" s="23">
        <v>0.19400000000000001</v>
      </c>
      <c r="F7" s="23">
        <v>2.7199999999999998E-2</v>
      </c>
      <c r="G7" s="23">
        <v>1.9127999999999999E-2</v>
      </c>
      <c r="H7" s="23">
        <v>0.14549999999999999</v>
      </c>
      <c r="I7" s="23">
        <v>2.3910000000000001E-2</v>
      </c>
      <c r="J7" s="22"/>
      <c r="K7" s="17"/>
      <c r="L7" s="17"/>
      <c r="M7" s="17"/>
      <c r="N7" s="17"/>
      <c r="O7" s="17"/>
      <c r="P7" s="17"/>
      <c r="Q7" s="17"/>
    </row>
    <row r="8" spans="1:17" x14ac:dyDescent="0.25">
      <c r="A8" s="24">
        <f t="shared" si="0"/>
        <v>67</v>
      </c>
      <c r="B8" s="23">
        <v>7.5999999999999998E-2</v>
      </c>
      <c r="C8" s="23">
        <v>1.52E-2</v>
      </c>
      <c r="D8" s="23">
        <v>1.4259000000000001E-2</v>
      </c>
      <c r="E8" s="23">
        <v>0.188</v>
      </c>
      <c r="F8" s="23">
        <v>3.04E-2</v>
      </c>
      <c r="G8" s="23">
        <v>2.1388999999999998E-2</v>
      </c>
      <c r="H8" s="23">
        <v>0.14099999999999999</v>
      </c>
      <c r="I8" s="23">
        <v>2.6735999999999999E-2</v>
      </c>
      <c r="J8" s="22"/>
      <c r="K8" s="17"/>
      <c r="L8" s="17"/>
      <c r="M8" s="17"/>
      <c r="N8" s="17"/>
      <c r="O8" s="17"/>
      <c r="P8" s="17"/>
      <c r="Q8" s="17"/>
    </row>
    <row r="9" spans="1:17" x14ac:dyDescent="0.25">
      <c r="A9" s="24">
        <f t="shared" si="0"/>
        <v>68</v>
      </c>
      <c r="B9" s="23">
        <v>8.4000000000000005E-2</v>
      </c>
      <c r="C9" s="23">
        <v>1.6799999999999999E-2</v>
      </c>
      <c r="D9" s="23">
        <v>1.593E-2</v>
      </c>
      <c r="E9" s="23">
        <v>0.182</v>
      </c>
      <c r="F9" s="23">
        <v>3.3599999999999998E-2</v>
      </c>
      <c r="G9" s="23">
        <v>2.3896000000000001E-2</v>
      </c>
      <c r="H9" s="23">
        <v>0.13650000000000001</v>
      </c>
      <c r="I9" s="23">
        <v>2.9870000000000001E-2</v>
      </c>
      <c r="J9" s="22"/>
      <c r="K9" s="17"/>
      <c r="L9" s="17"/>
      <c r="M9" s="17"/>
      <c r="N9" s="17"/>
      <c r="O9" s="17"/>
      <c r="P9" s="17"/>
      <c r="Q9" s="17"/>
    </row>
    <row r="10" spans="1:17" x14ac:dyDescent="0.25">
      <c r="A10" s="24">
        <f t="shared" si="0"/>
        <v>69</v>
      </c>
      <c r="B10" s="23">
        <v>9.1999999999999998E-2</v>
      </c>
      <c r="C10" s="23">
        <v>1.84E-2</v>
      </c>
      <c r="D10" s="23">
        <v>1.7781000000000002E-2</v>
      </c>
      <c r="E10" s="23">
        <v>0.17599999999999999</v>
      </c>
      <c r="F10" s="23">
        <v>3.6799999999999999E-2</v>
      </c>
      <c r="G10" s="23">
        <v>2.6671E-2</v>
      </c>
      <c r="H10" s="23">
        <v>0.13200000000000001</v>
      </c>
      <c r="I10" s="23">
        <v>3.3339000000000001E-2</v>
      </c>
      <c r="J10" s="22"/>
      <c r="K10" s="17"/>
      <c r="L10" s="17"/>
      <c r="M10" s="17"/>
      <c r="N10" s="17"/>
      <c r="O10" s="17"/>
      <c r="P10" s="17"/>
      <c r="Q10" s="17"/>
    </row>
    <row r="11" spans="1:17" x14ac:dyDescent="0.25">
      <c r="A11" s="24">
        <f t="shared" si="0"/>
        <v>70</v>
      </c>
      <c r="B11" s="23">
        <v>0.1</v>
      </c>
      <c r="C11" s="23">
        <v>0.02</v>
      </c>
      <c r="D11" s="23">
        <v>1.9826E-2</v>
      </c>
      <c r="E11" s="23">
        <v>0.17</v>
      </c>
      <c r="F11" s="23">
        <v>0.04</v>
      </c>
      <c r="G11" s="23">
        <v>2.9739999999999999E-2</v>
      </c>
      <c r="H11" s="23">
        <v>0.1275</v>
      </c>
      <c r="I11" s="23">
        <v>3.7175E-2</v>
      </c>
      <c r="J11" s="22"/>
      <c r="K11" s="17"/>
      <c r="L11" s="17"/>
      <c r="M11" s="17"/>
      <c r="N11" s="17"/>
      <c r="O11" s="17"/>
      <c r="P11" s="17"/>
      <c r="Q11" s="17"/>
    </row>
    <row r="12" spans="1:17" x14ac:dyDescent="0.25">
      <c r="A12" s="24">
        <f t="shared" si="0"/>
        <v>71</v>
      </c>
      <c r="B12" s="23">
        <v>0.108</v>
      </c>
      <c r="C12" s="23">
        <v>2.1600000000000001E-2</v>
      </c>
      <c r="D12" s="23">
        <v>2.2085E-2</v>
      </c>
      <c r="E12" s="23">
        <v>0.16400000000000001</v>
      </c>
      <c r="F12" s="23">
        <v>4.3200000000000002E-2</v>
      </c>
      <c r="G12" s="23">
        <v>3.3126999999999997E-2</v>
      </c>
      <c r="H12" s="23">
        <v>0.123</v>
      </c>
      <c r="I12" s="23">
        <v>4.1409000000000001E-2</v>
      </c>
      <c r="J12" s="22"/>
      <c r="K12" s="17"/>
      <c r="L12" s="17"/>
      <c r="M12" s="17"/>
      <c r="N12" s="17"/>
      <c r="O12" s="17"/>
      <c r="P12" s="17"/>
      <c r="Q12" s="17"/>
    </row>
    <row r="13" spans="1:17" x14ac:dyDescent="0.25">
      <c r="A13" s="24">
        <f t="shared" si="0"/>
        <v>72</v>
      </c>
      <c r="B13" s="23">
        <v>0.11600000000000001</v>
      </c>
      <c r="C13" s="23">
        <v>2.3199999999999998E-2</v>
      </c>
      <c r="D13" s="23">
        <v>2.4573999999999999E-2</v>
      </c>
      <c r="E13" s="23">
        <v>0.158</v>
      </c>
      <c r="F13" s="23">
        <v>4.6399999999999997E-2</v>
      </c>
      <c r="G13" s="23">
        <v>3.6861999999999999E-2</v>
      </c>
      <c r="H13" s="23">
        <v>0.11849999999999999</v>
      </c>
      <c r="I13" s="23">
        <v>4.6077E-2</v>
      </c>
      <c r="J13" s="22"/>
      <c r="K13" s="17"/>
      <c r="L13" s="17"/>
      <c r="M13" s="17"/>
      <c r="N13" s="17"/>
      <c r="O13" s="17"/>
      <c r="P13" s="17"/>
      <c r="Q13" s="17"/>
    </row>
    <row r="14" spans="1:17" x14ac:dyDescent="0.25">
      <c r="A14" s="24">
        <f t="shared" si="0"/>
        <v>73</v>
      </c>
      <c r="B14" s="23">
        <v>0.124</v>
      </c>
      <c r="C14" s="23">
        <v>2.4799999999999999E-2</v>
      </c>
      <c r="D14" s="23">
        <v>2.7314999999999999E-2</v>
      </c>
      <c r="E14" s="23">
        <v>0.152</v>
      </c>
      <c r="F14" s="23">
        <v>4.9599999999999998E-2</v>
      </c>
      <c r="G14" s="23">
        <v>4.0973000000000002E-2</v>
      </c>
      <c r="H14" s="23">
        <v>0.114</v>
      </c>
      <c r="I14" s="23">
        <v>5.1215999999999998E-2</v>
      </c>
      <c r="J14" s="22"/>
      <c r="K14" s="17"/>
      <c r="L14" s="17"/>
      <c r="M14" s="17"/>
      <c r="N14" s="17"/>
      <c r="O14" s="17"/>
      <c r="P14" s="17"/>
      <c r="Q14" s="17"/>
    </row>
    <row r="15" spans="1:17" x14ac:dyDescent="0.25">
      <c r="A15" s="24">
        <f t="shared" si="0"/>
        <v>74</v>
      </c>
      <c r="B15" s="23">
        <v>0.13200000000000001</v>
      </c>
      <c r="C15" s="23">
        <v>2.64E-2</v>
      </c>
      <c r="D15" s="23">
        <v>3.0328999999999998E-2</v>
      </c>
      <c r="E15" s="23">
        <v>0.14599999999999999</v>
      </c>
      <c r="F15" s="23">
        <v>5.28E-2</v>
      </c>
      <c r="G15" s="23">
        <v>4.5492999999999999E-2</v>
      </c>
      <c r="H15" s="23">
        <v>0.1095</v>
      </c>
      <c r="I15" s="23">
        <v>5.6867000000000001E-2</v>
      </c>
      <c r="J15" s="22"/>
      <c r="K15" s="17"/>
      <c r="L15" s="17"/>
      <c r="M15" s="17"/>
      <c r="N15" s="17"/>
      <c r="O15" s="17"/>
      <c r="P15" s="17"/>
      <c r="Q15" s="17"/>
    </row>
    <row r="16" spans="1:17" x14ac:dyDescent="0.25">
      <c r="A16" s="24">
        <f t="shared" si="0"/>
        <v>75</v>
      </c>
      <c r="B16" s="23">
        <v>0.14000000000000001</v>
      </c>
      <c r="C16" s="23">
        <v>2.8000000000000001E-2</v>
      </c>
      <c r="D16" s="23">
        <v>3.3637E-2</v>
      </c>
      <c r="E16" s="23">
        <v>0.14000000000000001</v>
      </c>
      <c r="F16" s="23">
        <v>5.6000000000000001E-2</v>
      </c>
      <c r="G16" s="23">
        <v>5.0455E-2</v>
      </c>
      <c r="H16" s="23">
        <v>0.105</v>
      </c>
      <c r="I16" s="23">
        <v>6.3069E-2</v>
      </c>
      <c r="J16" s="22"/>
      <c r="K16" s="17"/>
      <c r="L16" s="17"/>
      <c r="M16" s="17"/>
      <c r="N16" s="17"/>
      <c r="O16" s="17"/>
      <c r="P16" s="17"/>
      <c r="Q16" s="17"/>
    </row>
    <row r="17" spans="1:17" x14ac:dyDescent="0.25">
      <c r="A17" s="24">
        <f t="shared" si="0"/>
        <v>76</v>
      </c>
      <c r="B17" s="23">
        <v>0.14799999999999999</v>
      </c>
      <c r="C17" s="23">
        <v>2.9600000000000001E-2</v>
      </c>
      <c r="D17" s="23">
        <v>3.7262000000000003E-2</v>
      </c>
      <c r="E17" s="23">
        <v>0.13400000000000001</v>
      </c>
      <c r="F17" s="23">
        <v>5.9200000000000003E-2</v>
      </c>
      <c r="G17" s="23">
        <v>5.5893999999999999E-2</v>
      </c>
      <c r="H17" s="23">
        <v>0.10050000000000001</v>
      </c>
      <c r="I17" s="23">
        <v>6.9866999999999999E-2</v>
      </c>
      <c r="J17" s="22"/>
      <c r="K17" s="17"/>
      <c r="L17" s="17"/>
      <c r="M17" s="17"/>
      <c r="N17" s="17"/>
      <c r="O17" s="17"/>
      <c r="P17" s="17"/>
      <c r="Q17" s="17"/>
    </row>
    <row r="18" spans="1:17" x14ac:dyDescent="0.25">
      <c r="A18" s="24">
        <f t="shared" si="0"/>
        <v>77</v>
      </c>
      <c r="B18" s="23">
        <v>0.156</v>
      </c>
      <c r="C18" s="23">
        <v>3.1199999999999999E-2</v>
      </c>
      <c r="D18" s="23">
        <v>4.1230000000000003E-2</v>
      </c>
      <c r="E18" s="23">
        <v>0.128</v>
      </c>
      <c r="F18" s="23">
        <v>6.2399999999999997E-2</v>
      </c>
      <c r="G18" s="23">
        <v>6.1845999999999998E-2</v>
      </c>
      <c r="H18" s="23">
        <v>9.6000000000000002E-2</v>
      </c>
      <c r="I18" s="23">
        <v>7.7307000000000001E-2</v>
      </c>
      <c r="J18" s="22"/>
      <c r="K18" s="17"/>
      <c r="L18" s="17"/>
      <c r="M18" s="17"/>
      <c r="N18" s="17"/>
      <c r="O18" s="17"/>
      <c r="P18" s="17"/>
      <c r="Q18" s="17"/>
    </row>
    <row r="19" spans="1:17" x14ac:dyDescent="0.25">
      <c r="A19" s="24">
        <f t="shared" si="0"/>
        <v>78</v>
      </c>
      <c r="B19" s="23">
        <v>0.16400000000000001</v>
      </c>
      <c r="C19" s="23">
        <v>3.2800000000000003E-2</v>
      </c>
      <c r="D19" s="23">
        <v>4.5565000000000001E-2</v>
      </c>
      <c r="E19" s="23">
        <v>0.122</v>
      </c>
      <c r="F19" s="23">
        <v>6.5600000000000006E-2</v>
      </c>
      <c r="G19" s="23">
        <v>6.8347000000000005E-2</v>
      </c>
      <c r="H19" s="23">
        <v>9.1499999999999998E-2</v>
      </c>
      <c r="I19" s="23">
        <v>8.5433999999999996E-2</v>
      </c>
      <c r="J19" s="22"/>
      <c r="K19" s="17"/>
      <c r="L19" s="17"/>
      <c r="M19" s="17"/>
      <c r="N19" s="17"/>
      <c r="O19" s="17"/>
      <c r="P19" s="17"/>
      <c r="Q19" s="17"/>
    </row>
    <row r="20" spans="1:17" x14ac:dyDescent="0.25">
      <c r="A20" s="24">
        <f t="shared" si="0"/>
        <v>79</v>
      </c>
      <c r="B20" s="23">
        <v>0.17199999999999999</v>
      </c>
      <c r="C20" s="23">
        <v>3.44E-2</v>
      </c>
      <c r="D20" s="23">
        <v>5.0293999999999998E-2</v>
      </c>
      <c r="E20" s="23">
        <v>0.11600000000000001</v>
      </c>
      <c r="F20" s="23">
        <v>6.88E-2</v>
      </c>
      <c r="G20" s="23">
        <v>7.5439999999999993E-2</v>
      </c>
      <c r="H20" s="23">
        <v>8.6999999999999994E-2</v>
      </c>
      <c r="I20" s="23">
        <v>9.4300999999999996E-2</v>
      </c>
      <c r="J20" s="22"/>
      <c r="K20" s="17"/>
      <c r="L20" s="17"/>
      <c r="M20" s="17"/>
      <c r="N20" s="17"/>
      <c r="O20" s="17"/>
      <c r="P20" s="17"/>
      <c r="Q20" s="17"/>
    </row>
    <row r="21" spans="1:17" x14ac:dyDescent="0.25">
      <c r="A21" s="24">
        <f t="shared" si="0"/>
        <v>80</v>
      </c>
      <c r="B21" s="23">
        <v>0.18</v>
      </c>
      <c r="C21" s="23">
        <v>3.5999999999999997E-2</v>
      </c>
      <c r="D21" s="23">
        <v>5.5441999999999998E-2</v>
      </c>
      <c r="E21" s="23">
        <v>0.11</v>
      </c>
      <c r="F21" s="23">
        <v>7.1999999999999995E-2</v>
      </c>
      <c r="G21" s="23">
        <v>8.3164000000000002E-2</v>
      </c>
      <c r="H21" s="23">
        <v>8.2500000000000004E-2</v>
      </c>
      <c r="I21" s="23">
        <v>0.10395500000000001</v>
      </c>
      <c r="J21" s="22"/>
      <c r="K21" s="17"/>
      <c r="L21" s="17"/>
      <c r="M21" s="17"/>
      <c r="N21" s="17"/>
      <c r="O21" s="17"/>
      <c r="P21" s="17"/>
      <c r="Q21" s="17"/>
    </row>
    <row r="22" spans="1:17" x14ac:dyDescent="0.25">
      <c r="A22" s="24">
        <f t="shared" si="0"/>
        <v>81</v>
      </c>
      <c r="B22" s="23">
        <v>0.188</v>
      </c>
      <c r="C22" s="23">
        <v>3.7600000000000001E-2</v>
      </c>
      <c r="D22" s="23">
        <v>6.1039999999999997E-2</v>
      </c>
      <c r="E22" s="23">
        <v>0.104</v>
      </c>
      <c r="F22" s="23">
        <v>7.5200000000000003E-2</v>
      </c>
      <c r="G22" s="23">
        <v>9.1560000000000002E-2</v>
      </c>
      <c r="H22" s="23">
        <v>7.8E-2</v>
      </c>
      <c r="I22" s="23">
        <v>0.11445</v>
      </c>
      <c r="J22" s="22"/>
      <c r="K22" s="17"/>
      <c r="L22" s="17"/>
      <c r="M22" s="17"/>
      <c r="N22" s="17"/>
      <c r="O22" s="17"/>
      <c r="P22" s="17"/>
      <c r="Q22" s="17"/>
    </row>
    <row r="23" spans="1:17" x14ac:dyDescent="0.25">
      <c r="A23" s="24">
        <f t="shared" si="0"/>
        <v>82</v>
      </c>
      <c r="B23" s="23">
        <v>0.19600000000000001</v>
      </c>
      <c r="C23" s="23">
        <v>3.9199999999999999E-2</v>
      </c>
      <c r="D23" s="23">
        <v>6.7113999999999993E-2</v>
      </c>
      <c r="E23" s="23">
        <v>9.8000000000000004E-2</v>
      </c>
      <c r="F23" s="23">
        <v>7.8399999999999997E-2</v>
      </c>
      <c r="G23" s="23">
        <v>0.100672</v>
      </c>
      <c r="H23" s="23">
        <v>7.3499999999999996E-2</v>
      </c>
      <c r="I23" s="23">
        <v>0.12584000000000001</v>
      </c>
      <c r="J23" s="22"/>
      <c r="K23" s="17"/>
      <c r="L23" s="17"/>
      <c r="M23" s="17"/>
      <c r="N23" s="17"/>
      <c r="O23" s="17"/>
      <c r="P23" s="17"/>
      <c r="Q23" s="17"/>
    </row>
    <row r="24" spans="1:17" x14ac:dyDescent="0.25">
      <c r="A24" s="24">
        <f t="shared" si="0"/>
        <v>83</v>
      </c>
      <c r="B24" s="23">
        <v>0.20399999999999999</v>
      </c>
      <c r="C24" s="23">
        <v>4.0800000000000003E-2</v>
      </c>
      <c r="D24" s="23">
        <v>7.3693999999999996E-2</v>
      </c>
      <c r="E24" s="23">
        <v>9.1999999999999998E-2</v>
      </c>
      <c r="F24" s="23">
        <v>8.1600000000000006E-2</v>
      </c>
      <c r="G24" s="23">
        <v>0.11054</v>
      </c>
      <c r="H24" s="23">
        <v>6.9000000000000006E-2</v>
      </c>
      <c r="I24" s="23">
        <v>0.13817599999999999</v>
      </c>
      <c r="J24" s="22"/>
      <c r="K24" s="17"/>
      <c r="L24" s="17"/>
      <c r="M24" s="17"/>
      <c r="N24" s="17"/>
      <c r="O24" s="17"/>
      <c r="P24" s="17"/>
      <c r="Q24" s="17"/>
    </row>
    <row r="25" spans="1:17" x14ac:dyDescent="0.25">
      <c r="A25" s="24">
        <f t="shared" si="0"/>
        <v>84</v>
      </c>
      <c r="B25" s="23">
        <v>0.21199999999999999</v>
      </c>
      <c r="C25" s="23">
        <v>4.24E-2</v>
      </c>
      <c r="D25" s="23">
        <v>8.0806000000000003E-2</v>
      </c>
      <c r="E25" s="23">
        <v>8.5999999999999993E-2</v>
      </c>
      <c r="F25" s="23">
        <v>8.48E-2</v>
      </c>
      <c r="G25" s="23">
        <v>0.121208</v>
      </c>
      <c r="H25" s="23">
        <v>6.4500000000000002E-2</v>
      </c>
      <c r="I25" s="23">
        <v>0.15151100000000001</v>
      </c>
      <c r="J25" s="22"/>
      <c r="K25" s="17"/>
      <c r="L25" s="17"/>
      <c r="M25" s="17"/>
      <c r="N25" s="17"/>
      <c r="O25" s="17"/>
      <c r="P25" s="17"/>
      <c r="Q25" s="17"/>
    </row>
    <row r="26" spans="1:17" x14ac:dyDescent="0.25">
      <c r="A26" s="24">
        <f t="shared" si="0"/>
        <v>85</v>
      </c>
      <c r="B26" s="23">
        <v>0.22</v>
      </c>
      <c r="C26" s="23">
        <v>4.3999999999999997E-2</v>
      </c>
      <c r="D26" s="23">
        <v>8.8480000000000003E-2</v>
      </c>
      <c r="E26" s="23">
        <v>0.08</v>
      </c>
      <c r="F26" s="23">
        <v>8.7999999999999995E-2</v>
      </c>
      <c r="G26" s="23">
        <v>0.13272</v>
      </c>
      <c r="H26" s="23">
        <v>0.06</v>
      </c>
      <c r="I26" s="23">
        <v>0.16589999999999999</v>
      </c>
      <c r="J26" s="22"/>
      <c r="K26" s="17"/>
      <c r="L26" s="17"/>
      <c r="M26" s="17"/>
      <c r="N26" s="17"/>
      <c r="O26" s="17"/>
      <c r="P26" s="17"/>
      <c r="Q26" s="17"/>
    </row>
    <row r="27" spans="1:17" x14ac:dyDescent="0.25">
      <c r="A27" s="24">
        <f t="shared" si="0"/>
        <v>86</v>
      </c>
      <c r="B27" s="23">
        <v>0.22800000000000001</v>
      </c>
      <c r="C27" s="23">
        <v>4.5600000000000002E-2</v>
      </c>
      <c r="D27" s="23">
        <v>9.6742999999999996E-2</v>
      </c>
      <c r="E27" s="23">
        <v>7.3999999999999996E-2</v>
      </c>
      <c r="F27" s="23">
        <v>9.1200000000000003E-2</v>
      </c>
      <c r="G27" s="23">
        <v>0.14511499999999999</v>
      </c>
      <c r="H27" s="23">
        <v>5.5500000000000001E-2</v>
      </c>
      <c r="I27" s="23">
        <v>0.181394</v>
      </c>
      <c r="J27" s="22"/>
      <c r="K27" s="17"/>
      <c r="L27" s="17"/>
      <c r="M27" s="17"/>
      <c r="N27" s="17"/>
      <c r="O27" s="17"/>
      <c r="P27" s="17"/>
      <c r="Q27" s="17"/>
    </row>
    <row r="28" spans="1:17" x14ac:dyDescent="0.25">
      <c r="A28" s="24">
        <f t="shared" si="0"/>
        <v>87</v>
      </c>
      <c r="B28" s="23">
        <v>0.23599999999999999</v>
      </c>
      <c r="C28" s="23">
        <v>4.7199999999999999E-2</v>
      </c>
      <c r="D28" s="23">
        <v>0.10562199999999999</v>
      </c>
      <c r="E28" s="23">
        <v>6.8000000000000005E-2</v>
      </c>
      <c r="F28" s="23">
        <v>9.4399999999999998E-2</v>
      </c>
      <c r="G28" s="23">
        <v>0.15843399999999999</v>
      </c>
      <c r="H28" s="23">
        <v>5.0999999999999997E-2</v>
      </c>
      <c r="I28" s="23">
        <v>0.198042</v>
      </c>
      <c r="J28" s="22"/>
      <c r="K28" s="17"/>
      <c r="L28" s="17"/>
      <c r="M28" s="17"/>
      <c r="N28" s="17"/>
      <c r="O28" s="17"/>
      <c r="P28" s="17"/>
      <c r="Q28" s="17"/>
    </row>
    <row r="29" spans="1:17" x14ac:dyDescent="0.25">
      <c r="A29" s="24">
        <f t="shared" si="0"/>
        <v>88</v>
      </c>
      <c r="B29" s="23">
        <v>0.24399999999999999</v>
      </c>
      <c r="C29" s="23">
        <v>4.8800000000000003E-2</v>
      </c>
      <c r="D29" s="23">
        <v>0.115143</v>
      </c>
      <c r="E29" s="23">
        <v>6.2E-2</v>
      </c>
      <c r="F29" s="23">
        <v>9.7600000000000006E-2</v>
      </c>
      <c r="G29" s="23">
        <v>0.17271500000000001</v>
      </c>
      <c r="H29" s="23">
        <v>4.65E-2</v>
      </c>
      <c r="I29" s="23">
        <v>0.215894</v>
      </c>
      <c r="J29" s="22"/>
      <c r="K29" s="17"/>
      <c r="L29" s="17"/>
      <c r="M29" s="17"/>
      <c r="N29" s="17"/>
      <c r="O29" s="17"/>
      <c r="P29" s="17"/>
      <c r="Q29" s="17"/>
    </row>
    <row r="30" spans="1:17" x14ac:dyDescent="0.25">
      <c r="A30" s="24">
        <f t="shared" si="0"/>
        <v>89</v>
      </c>
      <c r="B30" s="23">
        <v>0.252</v>
      </c>
      <c r="C30" s="23">
        <v>5.04E-2</v>
      </c>
      <c r="D30" s="23">
        <v>0.12532799999999999</v>
      </c>
      <c r="E30" s="23">
        <v>5.6000000000000001E-2</v>
      </c>
      <c r="F30" s="23">
        <v>0.1008</v>
      </c>
      <c r="G30" s="23">
        <v>0.18799199999999999</v>
      </c>
      <c r="H30" s="23">
        <v>4.2000000000000003E-2</v>
      </c>
      <c r="I30" s="23">
        <v>0.23499</v>
      </c>
      <c r="J30" s="22"/>
      <c r="K30" s="17"/>
      <c r="L30" s="17"/>
      <c r="M30" s="17"/>
      <c r="N30" s="17"/>
      <c r="O30" s="17"/>
      <c r="P30" s="17"/>
      <c r="Q30" s="17"/>
    </row>
    <row r="31" spans="1:17" x14ac:dyDescent="0.25">
      <c r="A31" s="24">
        <f t="shared" si="0"/>
        <v>90</v>
      </c>
      <c r="B31" s="23">
        <v>0.26</v>
      </c>
      <c r="C31" s="23">
        <v>5.1999999999999998E-2</v>
      </c>
      <c r="D31" s="23">
        <v>0.13619800000000001</v>
      </c>
      <c r="E31" s="23">
        <v>0.05</v>
      </c>
      <c r="F31" s="23">
        <v>0.104</v>
      </c>
      <c r="G31" s="23">
        <v>0.20429600000000001</v>
      </c>
      <c r="H31" s="23">
        <v>3.7499999999999999E-2</v>
      </c>
      <c r="I31" s="23">
        <v>0.25537100000000001</v>
      </c>
      <c r="J31" s="22"/>
      <c r="K31" s="17"/>
      <c r="L31" s="17"/>
      <c r="M31" s="17"/>
      <c r="N31" s="17"/>
      <c r="O31" s="17"/>
      <c r="P31" s="17"/>
      <c r="Q31" s="17"/>
    </row>
    <row r="32" spans="1:17" x14ac:dyDescent="0.25">
      <c r="A32" s="24">
        <f t="shared" si="0"/>
        <v>91</v>
      </c>
      <c r="B32" s="23">
        <v>0.26800000000000002</v>
      </c>
      <c r="C32" s="23">
        <v>5.3600000000000002E-2</v>
      </c>
      <c r="D32" s="23">
        <v>0.14777100000000001</v>
      </c>
      <c r="E32" s="23">
        <v>4.3999999999999997E-2</v>
      </c>
      <c r="F32" s="23">
        <v>0.1072</v>
      </c>
      <c r="G32" s="23">
        <v>0.22165699999999999</v>
      </c>
      <c r="H32" s="23">
        <v>3.3000000000000002E-2</v>
      </c>
      <c r="I32" s="23">
        <v>0.27707100000000001</v>
      </c>
      <c r="J32" s="22"/>
      <c r="K32" s="17"/>
      <c r="L32" s="17"/>
      <c r="M32" s="17"/>
      <c r="N32" s="17"/>
      <c r="O32" s="17"/>
      <c r="P32" s="17"/>
      <c r="Q32" s="17"/>
    </row>
    <row r="33" spans="1:17" x14ac:dyDescent="0.25">
      <c r="A33" s="24">
        <f t="shared" si="0"/>
        <v>92</v>
      </c>
      <c r="B33" s="23">
        <v>0.27600000000000002</v>
      </c>
      <c r="C33" s="23">
        <v>5.5199999999999999E-2</v>
      </c>
      <c r="D33" s="23">
        <v>0.16006300000000001</v>
      </c>
      <c r="E33" s="23">
        <v>3.7999999999999999E-2</v>
      </c>
      <c r="F33" s="23">
        <v>0.1104</v>
      </c>
      <c r="G33" s="23">
        <v>0.240095</v>
      </c>
      <c r="H33" s="23">
        <v>2.8500000000000001E-2</v>
      </c>
      <c r="I33" s="23">
        <v>0.30011900000000002</v>
      </c>
      <c r="J33" s="22"/>
      <c r="K33" s="17"/>
      <c r="L33" s="17"/>
      <c r="M33" s="17"/>
      <c r="N33" s="17"/>
      <c r="O33" s="17"/>
      <c r="P33" s="17"/>
      <c r="Q33" s="17"/>
    </row>
    <row r="34" spans="1:17" x14ac:dyDescent="0.25">
      <c r="A34" s="24">
        <f t="shared" si="0"/>
        <v>93</v>
      </c>
      <c r="B34" s="23">
        <v>0.28399999999999997</v>
      </c>
      <c r="C34" s="23">
        <v>5.6800000000000003E-2</v>
      </c>
      <c r="D34" s="23">
        <v>0.17308299999999999</v>
      </c>
      <c r="E34" s="23">
        <v>3.2000000000000001E-2</v>
      </c>
      <c r="F34" s="23">
        <v>0.11360000000000001</v>
      </c>
      <c r="G34" s="23">
        <v>0.25962499999999999</v>
      </c>
      <c r="H34" s="23">
        <v>2.4E-2</v>
      </c>
      <c r="I34" s="23">
        <v>0.32453100000000001</v>
      </c>
      <c r="J34" s="22"/>
      <c r="K34" s="17"/>
      <c r="L34" s="17"/>
      <c r="M34" s="17"/>
      <c r="N34" s="17"/>
      <c r="O34" s="17"/>
      <c r="P34" s="17"/>
      <c r="Q34" s="17"/>
    </row>
    <row r="35" spans="1:17" x14ac:dyDescent="0.25">
      <c r="A35" s="24">
        <f t="shared" si="0"/>
        <v>94</v>
      </c>
      <c r="B35" s="23">
        <v>0.29199999999999998</v>
      </c>
      <c r="C35" s="23">
        <v>5.8400000000000001E-2</v>
      </c>
      <c r="D35" s="23">
        <v>0.186838</v>
      </c>
      <c r="E35" s="23">
        <v>2.5999999999999999E-2</v>
      </c>
      <c r="F35" s="23">
        <v>0.1168</v>
      </c>
      <c r="G35" s="23">
        <v>0.28025800000000001</v>
      </c>
      <c r="H35" s="23">
        <v>1.95E-2</v>
      </c>
      <c r="I35" s="23">
        <v>0.35032200000000002</v>
      </c>
      <c r="J35" s="22"/>
      <c r="K35" s="17"/>
      <c r="L35" s="17"/>
      <c r="M35" s="17"/>
      <c r="N35" s="17"/>
      <c r="O35" s="17"/>
      <c r="P35" s="17"/>
      <c r="Q35" s="17"/>
    </row>
    <row r="36" spans="1:17" x14ac:dyDescent="0.25">
      <c r="A36" s="24">
        <f t="shared" si="0"/>
        <v>95</v>
      </c>
      <c r="B36" s="23">
        <v>0.3</v>
      </c>
      <c r="C36" s="23">
        <v>0.06</v>
      </c>
      <c r="D36" s="23">
        <v>0.20133000000000001</v>
      </c>
      <c r="E36" s="23">
        <v>0.02</v>
      </c>
      <c r="F36" s="23">
        <v>0.12</v>
      </c>
      <c r="G36" s="23">
        <v>0.30199399999999998</v>
      </c>
      <c r="H36" s="23">
        <v>1.4999999999999999E-2</v>
      </c>
      <c r="I36" s="23">
        <v>0.37749300000000002</v>
      </c>
      <c r="J36" s="22"/>
      <c r="K36" s="17"/>
      <c r="L36" s="17"/>
      <c r="M36" s="17"/>
      <c r="N36" s="17"/>
      <c r="O36" s="17"/>
      <c r="P36" s="17"/>
      <c r="Q36" s="17"/>
    </row>
    <row r="37" spans="1:17" x14ac:dyDescent="0.25">
      <c r="A37" s="24">
        <f t="shared" si="0"/>
        <v>96</v>
      </c>
      <c r="B37" s="23">
        <v>0.308</v>
      </c>
      <c r="C37" s="23">
        <v>6.1600000000000002E-2</v>
      </c>
      <c r="D37" s="23">
        <v>0.21654999999999999</v>
      </c>
      <c r="E37" s="23">
        <v>1.4E-2</v>
      </c>
      <c r="F37" s="23">
        <v>0.1232</v>
      </c>
      <c r="G37" s="23">
        <v>0.324826</v>
      </c>
      <c r="H37" s="23">
        <v>1.0500000000000001E-2</v>
      </c>
      <c r="I37" s="23">
        <v>0.406032</v>
      </c>
      <c r="J37" s="22"/>
      <c r="K37" s="17"/>
      <c r="L37" s="17"/>
      <c r="M37" s="17"/>
      <c r="N37" s="17"/>
      <c r="O37" s="17"/>
      <c r="P37" s="17"/>
      <c r="Q37" s="17"/>
    </row>
    <row r="38" spans="1:17" x14ac:dyDescent="0.25">
      <c r="A38" s="24">
        <f t="shared" si="0"/>
        <v>97</v>
      </c>
      <c r="B38" s="23">
        <v>0.316</v>
      </c>
      <c r="C38" s="23">
        <v>6.3200000000000006E-2</v>
      </c>
      <c r="D38" s="23">
        <v>0.23249</v>
      </c>
      <c r="E38" s="23">
        <v>8.0000000000000002E-3</v>
      </c>
      <c r="F38" s="23">
        <v>0.12640000000000001</v>
      </c>
      <c r="G38" s="23">
        <v>0.34873599999999999</v>
      </c>
      <c r="H38" s="23">
        <v>6.0000000000000001E-3</v>
      </c>
      <c r="I38" s="23">
        <v>0.43591999999999997</v>
      </c>
      <c r="J38" s="22"/>
      <c r="K38" s="17"/>
      <c r="L38" s="17"/>
      <c r="M38" s="17"/>
      <c r="N38" s="17"/>
      <c r="O38" s="17"/>
      <c r="P38" s="17"/>
      <c r="Q38" s="17"/>
    </row>
    <row r="39" spans="1:17" x14ac:dyDescent="0.25">
      <c r="A39" s="24">
        <f t="shared" si="0"/>
        <v>98</v>
      </c>
      <c r="B39" s="23">
        <v>0.32400000000000001</v>
      </c>
      <c r="C39" s="23">
        <v>6.4799999999999996E-2</v>
      </c>
      <c r="D39" s="23">
        <v>0.24913099999999999</v>
      </c>
      <c r="E39" s="23">
        <v>2E-3</v>
      </c>
      <c r="F39" s="23">
        <v>0.12959999999999999</v>
      </c>
      <c r="G39" s="23">
        <v>0.373697</v>
      </c>
      <c r="H39" s="23">
        <v>1.5E-3</v>
      </c>
      <c r="I39" s="23">
        <v>0.46712100000000001</v>
      </c>
      <c r="J39" s="22"/>
      <c r="K39" s="17"/>
      <c r="L39" s="17"/>
      <c r="M39" s="17"/>
      <c r="N39" s="17"/>
      <c r="O39" s="17"/>
      <c r="P39" s="17"/>
      <c r="Q39" s="17"/>
    </row>
    <row r="40" spans="1:17" x14ac:dyDescent="0.25">
      <c r="A40" s="24">
        <f t="shared" si="0"/>
        <v>99</v>
      </c>
      <c r="B40" s="23">
        <v>0.33200000000000002</v>
      </c>
      <c r="C40" s="23">
        <v>6.6400000000000001E-2</v>
      </c>
      <c r="D40" s="23">
        <v>0.26644600000000002</v>
      </c>
      <c r="E40" s="23">
        <v>0</v>
      </c>
      <c r="F40" s="23">
        <v>0.1328</v>
      </c>
      <c r="G40" s="23">
        <v>0.39967000000000003</v>
      </c>
      <c r="H40" s="23">
        <v>0</v>
      </c>
      <c r="I40" s="23">
        <v>0.499587</v>
      </c>
      <c r="J40" s="22"/>
      <c r="K40" s="17"/>
      <c r="L40" s="17"/>
      <c r="M40" s="17"/>
      <c r="N40" s="17"/>
      <c r="O40" s="17"/>
      <c r="P40" s="17"/>
      <c r="Q40" s="17"/>
    </row>
    <row r="41" spans="1:17" x14ac:dyDescent="0.25">
      <c r="A41" s="24">
        <f t="shared" si="0"/>
        <v>100</v>
      </c>
      <c r="B41" s="23">
        <v>0.34</v>
      </c>
      <c r="C41" s="23">
        <v>6.8000000000000005E-2</v>
      </c>
      <c r="D41" s="23">
        <v>0.28440399999999999</v>
      </c>
      <c r="E41" s="23">
        <v>0</v>
      </c>
      <c r="F41" s="23">
        <v>0.13600000000000001</v>
      </c>
      <c r="G41" s="23">
        <v>0.42660599999999999</v>
      </c>
      <c r="H41" s="23">
        <v>0</v>
      </c>
      <c r="I41" s="23">
        <v>0.53325800000000001</v>
      </c>
      <c r="J41" s="22"/>
      <c r="K41" s="17"/>
      <c r="L41" s="17"/>
      <c r="M41" s="17"/>
      <c r="N41" s="17"/>
      <c r="O41" s="17"/>
      <c r="P41" s="17"/>
      <c r="Q41" s="17"/>
    </row>
    <row r="42" spans="1:17" x14ac:dyDescent="0.25">
      <c r="A42" s="24">
        <f t="shared" si="0"/>
        <v>101</v>
      </c>
      <c r="B42" s="23">
        <v>0.34799999999999998</v>
      </c>
      <c r="C42" s="23">
        <v>6.9599999999999995E-2</v>
      </c>
      <c r="D42" s="23">
        <v>0.30296200000000001</v>
      </c>
      <c r="E42" s="23">
        <v>0</v>
      </c>
      <c r="F42" s="23">
        <v>0.13919999999999999</v>
      </c>
      <c r="G42" s="23">
        <v>0.45444200000000001</v>
      </c>
      <c r="H42" s="23">
        <v>0</v>
      </c>
      <c r="I42" s="23">
        <v>0.56805300000000003</v>
      </c>
      <c r="J42" s="22"/>
      <c r="K42" s="17"/>
      <c r="L42" s="17"/>
      <c r="M42" s="17"/>
      <c r="N42" s="17"/>
      <c r="O42" s="17"/>
      <c r="P42" s="17"/>
      <c r="Q42" s="17"/>
    </row>
    <row r="43" spans="1:17" x14ac:dyDescent="0.25">
      <c r="A43" s="24">
        <f t="shared" si="0"/>
        <v>102</v>
      </c>
      <c r="B43" s="23">
        <v>0.35599999999999998</v>
      </c>
      <c r="C43" s="23">
        <v>7.1199999999999999E-2</v>
      </c>
      <c r="D43" s="23">
        <v>0.32207000000000002</v>
      </c>
      <c r="E43" s="23">
        <v>0</v>
      </c>
      <c r="F43" s="23">
        <v>0.1424</v>
      </c>
      <c r="G43" s="23">
        <v>0.48310599999999998</v>
      </c>
      <c r="H43" s="23">
        <v>0</v>
      </c>
      <c r="I43" s="23">
        <v>0.60388200000000003</v>
      </c>
      <c r="J43" s="22"/>
      <c r="K43" s="17"/>
      <c r="L43" s="17"/>
      <c r="M43" s="17"/>
      <c r="N43" s="17"/>
      <c r="O43" s="17"/>
      <c r="P43" s="17"/>
      <c r="Q43" s="17"/>
    </row>
    <row r="44" spans="1:17" x14ac:dyDescent="0.25">
      <c r="A44" s="24">
        <f t="shared" si="0"/>
        <v>103</v>
      </c>
      <c r="B44" s="23">
        <v>0.36399999999999999</v>
      </c>
      <c r="C44" s="23">
        <v>7.2800000000000004E-2</v>
      </c>
      <c r="D44" s="23">
        <v>0.34167199999999998</v>
      </c>
      <c r="E44" s="23">
        <v>0</v>
      </c>
      <c r="F44" s="23">
        <v>0.14560000000000001</v>
      </c>
      <c r="G44" s="23">
        <v>0.51250799999999996</v>
      </c>
      <c r="H44" s="23">
        <v>0</v>
      </c>
      <c r="I44" s="23">
        <v>0.64063499999999995</v>
      </c>
      <c r="J44" s="22"/>
      <c r="K44" s="17"/>
      <c r="L44" s="17"/>
      <c r="M44" s="17"/>
      <c r="N44" s="17"/>
      <c r="O44" s="17"/>
      <c r="P44" s="17"/>
      <c r="Q44" s="17"/>
    </row>
    <row r="45" spans="1:17" x14ac:dyDescent="0.25">
      <c r="A45" s="24">
        <f t="shared" si="0"/>
        <v>104</v>
      </c>
      <c r="B45" s="23">
        <v>0.372</v>
      </c>
      <c r="C45" s="23">
        <v>7.4399999999999994E-2</v>
      </c>
      <c r="D45" s="23">
        <v>0.36170200000000002</v>
      </c>
      <c r="E45" s="23">
        <v>0</v>
      </c>
      <c r="F45" s="23">
        <v>0.14879999999999999</v>
      </c>
      <c r="G45" s="23">
        <v>0.54255200000000003</v>
      </c>
      <c r="H45" s="23">
        <v>0</v>
      </c>
      <c r="I45" s="23">
        <v>0.67819099999999999</v>
      </c>
      <c r="J45" s="22"/>
      <c r="K45" s="17"/>
      <c r="L45" s="17"/>
      <c r="M45" s="17"/>
      <c r="N45" s="17"/>
      <c r="O45" s="17"/>
      <c r="P45" s="17"/>
      <c r="Q45" s="17"/>
    </row>
    <row r="46" spans="1:17" x14ac:dyDescent="0.25">
      <c r="A46" s="24">
        <f t="shared" si="0"/>
        <v>105</v>
      </c>
      <c r="B46" s="23">
        <v>0.38</v>
      </c>
      <c r="C46" s="23">
        <v>7.5999999999999998E-2</v>
      </c>
      <c r="D46" s="23">
        <v>0.38208599999999998</v>
      </c>
      <c r="E46" s="23">
        <v>0</v>
      </c>
      <c r="F46" s="23">
        <v>0.152</v>
      </c>
      <c r="G46" s="23">
        <v>0.57313000000000003</v>
      </c>
      <c r="H46" s="23">
        <v>0</v>
      </c>
      <c r="I46" s="23">
        <v>0.71641200000000005</v>
      </c>
      <c r="J46" s="22"/>
      <c r="K46" s="17"/>
      <c r="L46" s="17"/>
      <c r="M46" s="17"/>
      <c r="N46" s="17"/>
      <c r="O46" s="17"/>
      <c r="P46" s="17"/>
      <c r="Q46" s="17"/>
    </row>
    <row r="47" spans="1:17" x14ac:dyDescent="0.25">
      <c r="A47" s="24">
        <f t="shared" si="0"/>
        <v>106</v>
      </c>
      <c r="B47" s="23">
        <v>0.38800000000000001</v>
      </c>
      <c r="C47" s="23">
        <v>7.7600000000000002E-2</v>
      </c>
      <c r="D47" s="23">
        <v>0.40274599999999999</v>
      </c>
      <c r="E47" s="23">
        <v>0</v>
      </c>
      <c r="F47" s="23">
        <v>0.1552</v>
      </c>
      <c r="G47" s="23">
        <v>0.60411800000000004</v>
      </c>
      <c r="H47" s="23">
        <v>0</v>
      </c>
      <c r="I47" s="23">
        <v>0.75514800000000004</v>
      </c>
      <c r="J47" s="22"/>
      <c r="K47" s="17"/>
      <c r="L47" s="17"/>
      <c r="M47" s="17"/>
      <c r="N47" s="17"/>
      <c r="O47" s="17"/>
      <c r="P47" s="17"/>
      <c r="Q47" s="17"/>
    </row>
    <row r="48" spans="1:17" x14ac:dyDescent="0.25">
      <c r="A48" s="24">
        <f t="shared" si="0"/>
        <v>107</v>
      </c>
      <c r="B48" s="23">
        <v>0.39600000000000002</v>
      </c>
      <c r="C48" s="23">
        <v>7.9200000000000007E-2</v>
      </c>
      <c r="D48" s="23">
        <v>0.42359400000000003</v>
      </c>
      <c r="E48" s="23">
        <v>0</v>
      </c>
      <c r="F48" s="23">
        <v>0.15840000000000001</v>
      </c>
      <c r="G48" s="23">
        <v>0.63539199999999996</v>
      </c>
      <c r="H48" s="23">
        <v>0</v>
      </c>
      <c r="I48" s="23">
        <v>0.79423999999999995</v>
      </c>
      <c r="J48" s="22"/>
      <c r="K48" s="17"/>
      <c r="L48" s="17"/>
      <c r="M48" s="17"/>
      <c r="N48" s="17"/>
      <c r="O48" s="17"/>
      <c r="P48" s="17"/>
      <c r="Q48" s="17"/>
    </row>
    <row r="49" spans="1:17" x14ac:dyDescent="0.25">
      <c r="A49" s="24">
        <f t="shared" si="0"/>
        <v>108</v>
      </c>
      <c r="B49" s="23">
        <v>0.40400000000000003</v>
      </c>
      <c r="C49" s="23">
        <v>8.0799999999999997E-2</v>
      </c>
      <c r="D49" s="23">
        <v>0.44453900000000002</v>
      </c>
      <c r="E49" s="23">
        <v>0</v>
      </c>
      <c r="F49" s="23">
        <v>0.16159999999999999</v>
      </c>
      <c r="G49" s="23">
        <v>0.66680899999999999</v>
      </c>
      <c r="H49" s="23">
        <v>0</v>
      </c>
      <c r="I49" s="23">
        <v>0.833511</v>
      </c>
      <c r="J49" s="22"/>
      <c r="K49" s="17"/>
      <c r="L49" s="17"/>
      <c r="M49" s="17"/>
      <c r="N49" s="17"/>
      <c r="O49" s="17"/>
      <c r="P49" s="17"/>
      <c r="Q49" s="17"/>
    </row>
    <row r="50" spans="1:17" x14ac:dyDescent="0.25">
      <c r="A50" s="24">
        <f t="shared" si="0"/>
        <v>109</v>
      </c>
      <c r="B50" s="23">
        <v>0</v>
      </c>
      <c r="C50" s="23">
        <v>0</v>
      </c>
      <c r="D50" s="23">
        <v>1</v>
      </c>
      <c r="E50" s="23">
        <v>0</v>
      </c>
      <c r="F50" s="23">
        <v>0</v>
      </c>
      <c r="G50" s="23">
        <v>1</v>
      </c>
      <c r="H50" s="23">
        <v>0</v>
      </c>
      <c r="I50" s="23">
        <v>1</v>
      </c>
      <c r="J50" s="22"/>
      <c r="K50" s="17"/>
      <c r="L50" s="17"/>
      <c r="M50" s="17"/>
      <c r="N50" s="17"/>
      <c r="O50" s="17"/>
      <c r="P50" s="17"/>
      <c r="Q50" s="17"/>
    </row>
    <row r="51" spans="1:17" x14ac:dyDescent="0.25">
      <c r="A51" s="24">
        <v>110</v>
      </c>
      <c r="B51" s="17"/>
      <c r="C51" s="17"/>
      <c r="D51" s="17"/>
      <c r="E51" s="17"/>
      <c r="F51" s="17"/>
      <c r="G51" s="17"/>
      <c r="H51" s="17"/>
      <c r="I51" s="17"/>
      <c r="J51" s="22"/>
      <c r="K51" s="17"/>
      <c r="L51" s="17"/>
      <c r="M51" s="17"/>
      <c r="N51" s="17"/>
      <c r="O51" s="17"/>
      <c r="P51" s="17"/>
      <c r="Q51" s="17"/>
    </row>
  </sheetData>
  <phoneticPr fontId="3" type="noConversion"/>
  <dataValidations count="2">
    <dataValidation allowBlank="1" showInputMessage="1" showErrorMessage="1" promptTitle="No delete" prompt="You cannot delete this cell. The table will be extracted from here." sqref="A5" xr:uid="{D8BB7AB3-E56E-4C85-BF49-C6A67EA3BA8A}"/>
    <dataValidation type="decimal" showInputMessage="1" showErrorMessage="1" errorTitle="Invalid value" error="Entries should be between 0 and 1" sqref="B6:I50" xr:uid="{4BA4970D-04AD-4066-A2AA-90BCC110D86E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28904-75A7-4331-8704-C95EFA79B324}">
  <sheetPr codeName="Sheet1">
    <tabColor rgb="FFECBD17"/>
  </sheetPr>
  <dimension ref="A1:F46"/>
  <sheetViews>
    <sheetView tabSelected="1" workbookViewId="0">
      <selection activeCell="J9" sqref="J9"/>
    </sheetView>
  </sheetViews>
  <sheetFormatPr defaultRowHeight="13.5" x14ac:dyDescent="0.15"/>
  <sheetData>
    <row r="1" spans="1:6" ht="15" x14ac:dyDescent="0.25">
      <c r="A1" s="1" t="s">
        <v>0</v>
      </c>
      <c r="B1" s="1">
        <v>0</v>
      </c>
      <c r="C1" s="1">
        <v>1</v>
      </c>
      <c r="D1" s="1">
        <v>2</v>
      </c>
      <c r="E1" s="1" t="s">
        <v>83</v>
      </c>
      <c r="F1" s="1" t="s">
        <v>84</v>
      </c>
    </row>
    <row r="2" spans="1:6" ht="15" x14ac:dyDescent="0.25">
      <c r="A2" s="64">
        <v>65</v>
      </c>
      <c r="B2" s="65">
        <v>1</v>
      </c>
      <c r="C2" s="65">
        <v>0</v>
      </c>
      <c r="D2" s="65">
        <v>0</v>
      </c>
      <c r="E2" s="65">
        <v>0</v>
      </c>
      <c r="F2" s="65">
        <v>0</v>
      </c>
    </row>
    <row r="3" spans="1:6" ht="15" x14ac:dyDescent="0.25">
      <c r="A3" s="64">
        <v>66</v>
      </c>
      <c r="B3" s="65">
        <v>0.91742636799999988</v>
      </c>
      <c r="C3" s="65">
        <v>5.9316359999999999E-2</v>
      </c>
      <c r="D3" s="65">
        <v>1.1863271999999999E-2</v>
      </c>
      <c r="E3" s="65">
        <v>1.1394E-2</v>
      </c>
      <c r="F3" s="65">
        <v>1.1394E-2</v>
      </c>
    </row>
    <row r="4" spans="1:6" ht="15" x14ac:dyDescent="0.25">
      <c r="A4" s="64">
        <v>67</v>
      </c>
      <c r="B4" s="65">
        <v>0.84310725623690275</v>
      </c>
      <c r="C4" s="65">
        <v>0.10858624656409929</v>
      </c>
      <c r="D4" s="65">
        <v>2.3795221986661771E-2</v>
      </c>
      <c r="E4" s="65">
        <v>1.3117275212335997E-2</v>
      </c>
      <c r="F4" s="65">
        <v>2.4511275212335995E-2</v>
      </c>
    </row>
    <row r="5" spans="1:6" ht="15" x14ac:dyDescent="0.25">
      <c r="A5" s="64">
        <v>68</v>
      </c>
      <c r="B5" s="65">
        <v>0.77526797703728856</v>
      </c>
      <c r="C5" s="65">
        <v>0.14948361754837927</v>
      </c>
      <c r="D5" s="65">
        <v>3.5756523552519147E-2</v>
      </c>
      <c r="E5" s="65">
        <v>1.4980606649476903E-2</v>
      </c>
      <c r="F5" s="65">
        <v>3.9491881861812898E-2</v>
      </c>
    </row>
    <row r="6" spans="1:6" ht="15" x14ac:dyDescent="0.25">
      <c r="A6" s="64">
        <v>69</v>
      </c>
      <c r="B6" s="65">
        <v>0.71257173135851226</v>
      </c>
      <c r="C6" s="65">
        <v>0.18327311081536971</v>
      </c>
      <c r="D6" s="65">
        <v>4.7673149206651173E-2</v>
      </c>
      <c r="E6" s="65">
        <v>1.6990126757653823E-2</v>
      </c>
      <c r="F6" s="65">
        <v>5.6482008619466721E-2</v>
      </c>
    </row>
    <row r="7" spans="1:6" ht="15" x14ac:dyDescent="0.25">
      <c r="A7" s="64">
        <v>70</v>
      </c>
      <c r="B7" s="65">
        <v>0.65402813445862951</v>
      </c>
      <c r="C7" s="65">
        <v>0.21089869408273715</v>
      </c>
      <c r="D7" s="65">
        <v>5.9443472623923632E-2</v>
      </c>
      <c r="E7" s="65">
        <v>1.9147690215242975E-2</v>
      </c>
      <c r="F7" s="65">
        <v>7.5629698834709699E-2</v>
      </c>
    </row>
    <row r="8" spans="1:6" ht="15" x14ac:dyDescent="0.25">
      <c r="A8" s="64">
        <v>71</v>
      </c>
      <c r="B8" s="65">
        <v>0.59892052432159226</v>
      </c>
      <c r="C8" s="65">
        <v>0.2330584169788153</v>
      </c>
      <c r="D8" s="65">
        <v>7.0942659814291015E-2</v>
      </c>
      <c r="E8" s="65">
        <v>2.1448700050591754E-2</v>
      </c>
      <c r="F8" s="65">
        <v>9.7078398885301453E-2</v>
      </c>
    </row>
    <row r="9" spans="1:6" ht="15" x14ac:dyDescent="0.25">
      <c r="A9" s="64">
        <v>72</v>
      </c>
      <c r="B9" s="65">
        <v>0.54674291858844082</v>
      </c>
      <c r="C9" s="65">
        <v>0.25026737760774725</v>
      </c>
      <c r="D9" s="65">
        <v>8.2025954359361011E-2</v>
      </c>
      <c r="E9" s="65">
        <v>2.3885350559149556E-2</v>
      </c>
      <c r="F9" s="65">
        <v>0.12096374944445101</v>
      </c>
    </row>
    <row r="10" spans="1:6" ht="15" x14ac:dyDescent="0.25">
      <c r="A10" s="64">
        <v>73</v>
      </c>
      <c r="B10" s="65">
        <v>0.49715552718097789</v>
      </c>
      <c r="C10" s="65">
        <v>0.26290887794171364</v>
      </c>
      <c r="D10" s="65">
        <v>9.2531318979072186E-2</v>
      </c>
      <c r="E10" s="65">
        <v>2.6440526453785404E-2</v>
      </c>
      <c r="F10" s="65">
        <v>0.1474042758982364</v>
      </c>
    </row>
    <row r="11" spans="1:6" ht="15" x14ac:dyDescent="0.25">
      <c r="A11" s="64">
        <v>74</v>
      </c>
      <c r="B11" s="65">
        <v>0.44994443652921501</v>
      </c>
      <c r="C11" s="65">
        <v>0.27127765580308799</v>
      </c>
      <c r="D11" s="65">
        <v>0.10228257905577426</v>
      </c>
      <c r="E11" s="65">
        <v>2.9091052713686404E-2</v>
      </c>
      <c r="F11" s="65">
        <v>0.1764953286119228</v>
      </c>
    </row>
    <row r="12" spans="1:6" ht="15" x14ac:dyDescent="0.25">
      <c r="A12" s="64">
        <v>75</v>
      </c>
      <c r="B12" s="65">
        <v>0.4049931746797823</v>
      </c>
      <c r="C12" s="65">
        <v>0.27561424157978154</v>
      </c>
      <c r="D12" s="65">
        <v>0.11109315249440431</v>
      </c>
      <c r="E12" s="65">
        <v>3.1804102634109155E-2</v>
      </c>
      <c r="F12" s="65">
        <v>0.20829943124603195</v>
      </c>
    </row>
    <row r="13" spans="1:6" ht="15" x14ac:dyDescent="0.25">
      <c r="A13" s="64">
        <v>76</v>
      </c>
      <c r="B13" s="65">
        <v>0.36225932632980357</v>
      </c>
      <c r="C13" s="65">
        <v>0.27613428615188557</v>
      </c>
      <c r="D13" s="65">
        <v>0.1187715502619977</v>
      </c>
      <c r="E13" s="65">
        <v>3.4535406010281301E-2</v>
      </c>
      <c r="F13" s="65">
        <v>0.24283483725631325</v>
      </c>
    </row>
    <row r="14" spans="1:6" ht="15" x14ac:dyDescent="0.25">
      <c r="A14" s="64">
        <v>77</v>
      </c>
      <c r="B14" s="65">
        <v>0.32175470267474249</v>
      </c>
      <c r="C14" s="65">
        <v>0.27305196109998464</v>
      </c>
      <c r="D14" s="65">
        <v>0.12512753025893011</v>
      </c>
      <c r="E14" s="65">
        <v>3.7230968710029622E-2</v>
      </c>
      <c r="F14" s="65">
        <v>0.2800658059663429</v>
      </c>
    </row>
    <row r="15" spans="1:6" ht="15" x14ac:dyDescent="0.25">
      <c r="A15" s="64">
        <v>78</v>
      </c>
      <c r="B15" s="65">
        <v>0.28352875416496437</v>
      </c>
      <c r="C15" s="65">
        <v>0.26659887201320009</v>
      </c>
      <c r="D15" s="65">
        <v>0.12998021589629638</v>
      </c>
      <c r="E15" s="65">
        <v>3.9826351959196392E-2</v>
      </c>
      <c r="F15" s="65">
        <v>0.31989215792553927</v>
      </c>
    </row>
    <row r="16" spans="1:6" ht="15" x14ac:dyDescent="0.25">
      <c r="A16" s="64">
        <v>79</v>
      </c>
      <c r="B16" s="65">
        <v>0.24765583638463187</v>
      </c>
      <c r="C16" s="65">
        <v>0.25703910253260681</v>
      </c>
      <c r="D16" s="65">
        <v>0.13316795260332517</v>
      </c>
      <c r="E16" s="65">
        <v>4.2244950553896973E-2</v>
      </c>
      <c r="F16" s="65">
        <v>0.36213710847943625</v>
      </c>
    </row>
    <row r="17" spans="1:6" ht="15" x14ac:dyDescent="0.25">
      <c r="A17" s="64">
        <v>80</v>
      </c>
      <c r="B17" s="65">
        <v>0.21422208192956121</v>
      </c>
      <c r="C17" s="65">
        <v>0.24467822610996734</v>
      </c>
      <c r="D17" s="65">
        <v>0.13455807985240067</v>
      </c>
      <c r="E17" s="65">
        <v>4.4404503628634698E-2</v>
      </c>
      <c r="F17" s="65">
        <v>0.40654161210807094</v>
      </c>
    </row>
    <row r="18" spans="1:6" ht="15" x14ac:dyDescent="0.25">
      <c r="A18" s="64">
        <v>81</v>
      </c>
      <c r="B18" s="65">
        <v>0.18331490078287982</v>
      </c>
      <c r="C18" s="65">
        <v>0.22987094683799505</v>
      </c>
      <c r="D18" s="65">
        <v>0.13405923441745005</v>
      </c>
      <c r="E18" s="65">
        <v>4.6213305853604364E-2</v>
      </c>
      <c r="F18" s="65">
        <v>0.45275491796167533</v>
      </c>
    </row>
    <row r="19" spans="1:6" ht="15" x14ac:dyDescent="0.25">
      <c r="A19" s="64">
        <v>82</v>
      </c>
      <c r="B19" s="65">
        <v>0.15501157034108634</v>
      </c>
      <c r="C19" s="65">
        <v>0.21302213641561571</v>
      </c>
      <c r="D19" s="65">
        <v>0.13163177046627192</v>
      </c>
      <c r="E19" s="65">
        <v>4.7579604815350965E-2</v>
      </c>
      <c r="F19" s="65">
        <v>0.50033452277702628</v>
      </c>
    </row>
    <row r="20" spans="1:6" ht="15" x14ac:dyDescent="0.25">
      <c r="A20" s="64">
        <v>83</v>
      </c>
      <c r="B20" s="65">
        <v>0.12937081673532891</v>
      </c>
      <c r="C20" s="65">
        <v>0.19458326289471772</v>
      </c>
      <c r="D20" s="65">
        <v>0.12729804454834717</v>
      </c>
      <c r="E20" s="65">
        <v>4.8413353044580193E-2</v>
      </c>
      <c r="F20" s="65">
        <v>0.54874787582160645</v>
      </c>
    </row>
    <row r="21" spans="1:6" ht="15" x14ac:dyDescent="0.25">
      <c r="A21" s="64">
        <v>84</v>
      </c>
      <c r="B21" s="65">
        <v>0.10642368570603311</v>
      </c>
      <c r="C21" s="65">
        <v>0.17504500537207501</v>
      </c>
      <c r="D21" s="65">
        <v>0.12115081164789784</v>
      </c>
      <c r="E21" s="65">
        <v>4.8632621452387843E-2</v>
      </c>
      <c r="F21" s="65">
        <v>0.59738049727399434</v>
      </c>
    </row>
    <row r="22" spans="1:6" ht="15" x14ac:dyDescent="0.25">
      <c r="A22" s="64">
        <v>85</v>
      </c>
      <c r="B22" s="65">
        <v>8.6166805291415044E-2</v>
      </c>
      <c r="C22" s="65">
        <v>0.15492327906243755</v>
      </c>
      <c r="D22" s="65">
        <v>0.11335721039026858</v>
      </c>
      <c r="E22" s="65">
        <v>4.8172207981884832E-2</v>
      </c>
      <c r="F22" s="65">
        <v>0.64555270525587916</v>
      </c>
    </row>
    <row r="23" spans="1:6" ht="15" x14ac:dyDescent="0.25">
      <c r="A23" s="64">
        <v>86</v>
      </c>
      <c r="B23" s="65">
        <v>6.8556424957615422E-2</v>
      </c>
      <c r="C23" s="65">
        <v>0.13474155228932747</v>
      </c>
      <c r="D23" s="65">
        <v>0.10415789976408163</v>
      </c>
      <c r="E23" s="65">
        <v>4.6991417733096674E-2</v>
      </c>
      <c r="F23" s="65">
        <v>0.69254412298897583</v>
      </c>
    </row>
    <row r="24" spans="1:6" ht="15" x14ac:dyDescent="0.25">
      <c r="A24" s="64">
        <v>87</v>
      </c>
      <c r="B24" s="65">
        <v>5.3505596346775992E-2</v>
      </c>
      <c r="C24" s="65">
        <v>0.11501024221649657</v>
      </c>
      <c r="D24" s="65">
        <v>9.3861045797805784E-2</v>
      </c>
      <c r="E24" s="65">
        <v>4.5078992649946165E-2</v>
      </c>
      <c r="F24" s="65">
        <v>0.73762311563892202</v>
      </c>
    </row>
    <row r="25" spans="1:6" ht="15" x14ac:dyDescent="0.25">
      <c r="A25" s="64">
        <v>88</v>
      </c>
      <c r="B25" s="65">
        <v>4.0883543055275744E-2</v>
      </c>
      <c r="C25" s="65">
        <v>9.6202724389907276E-2</v>
      </c>
      <c r="D25" s="65">
        <v>8.2829286871338656E-2</v>
      </c>
      <c r="E25" s="65">
        <v>4.2461330044556642E-2</v>
      </c>
      <c r="F25" s="65">
        <v>0.78008444568347868</v>
      </c>
    </row>
    <row r="26" spans="1:6" ht="15" x14ac:dyDescent="0.25">
      <c r="A26" s="64">
        <v>89</v>
      </c>
      <c r="B26" s="65">
        <v>3.0518128715243856E-2</v>
      </c>
      <c r="C26" s="65">
        <v>7.8731972866246946E-2</v>
      </c>
      <c r="D26" s="65">
        <v>7.1459999334213611E-2</v>
      </c>
      <c r="E26" s="65">
        <v>3.9205453400817242E-2</v>
      </c>
      <c r="F26" s="65">
        <v>0.81928989908429595</v>
      </c>
    </row>
    <row r="27" spans="1:6" ht="15" x14ac:dyDescent="0.25">
      <c r="A27" s="64">
        <v>90</v>
      </c>
      <c r="B27" s="65">
        <v>2.2201418371400581E-2</v>
      </c>
      <c r="C27" s="65">
        <v>6.2929376972373718E-2</v>
      </c>
      <c r="D27" s="65">
        <v>6.016116324968767E-2</v>
      </c>
      <c r="E27" s="65">
        <v>3.5418142322242434E-2</v>
      </c>
      <c r="F27" s="65">
        <v>0.85470804140653833</v>
      </c>
    </row>
    <row r="28" spans="1:6" ht="15" x14ac:dyDescent="0.25">
      <c r="A28" s="64">
        <v>91</v>
      </c>
      <c r="B28" s="65">
        <v>1.5697867008053448E-2</v>
      </c>
      <c r="C28" s="65">
        <v>4.9027990000402207E-2</v>
      </c>
      <c r="D28" s="65">
        <v>4.9322676387474243E-2</v>
      </c>
      <c r="E28" s="65">
        <v>3.1243425197532072E-2</v>
      </c>
      <c r="F28" s="65">
        <v>0.88595146660407043</v>
      </c>
    </row>
    <row r="29" spans="1:6" ht="15" x14ac:dyDescent="0.25">
      <c r="A29" s="64">
        <v>92</v>
      </c>
      <c r="B29" s="65">
        <v>1.0754821701751344E-2</v>
      </c>
      <c r="C29" s="65">
        <v>3.715273692990842E-2</v>
      </c>
      <c r="D29" s="65">
        <v>3.9288004809750032E-2</v>
      </c>
      <c r="E29" s="65">
        <v>2.6852969954520092E-2</v>
      </c>
      <c r="F29" s="65">
        <v>0.91280443655859056</v>
      </c>
    </row>
    <row r="30" spans="1:6" ht="15" x14ac:dyDescent="0.25">
      <c r="A30" s="64">
        <v>93</v>
      </c>
      <c r="B30" s="65">
        <v>7.1143565666662179E-3</v>
      </c>
      <c r="C30" s="65">
        <v>2.7319713363284988E-2</v>
      </c>
      <c r="D30" s="65">
        <v>3.0328781396727431E-2</v>
      </c>
      <c r="E30" s="65">
        <v>2.2432712114731159E-2</v>
      </c>
      <c r="F30" s="65">
        <v>0.93523714867332175</v>
      </c>
    </row>
    <row r="31" spans="1:6" ht="15" x14ac:dyDescent="0.25">
      <c r="A31" s="64">
        <v>94</v>
      </c>
      <c r="B31" s="65">
        <v>4.5253206398567503E-3</v>
      </c>
      <c r="C31" s="65">
        <v>1.9444240566255867E-2</v>
      </c>
      <c r="D31" s="65">
        <v>2.2626405605533514E-2</v>
      </c>
      <c r="E31" s="65">
        <v>1.8166884515032504E-2</v>
      </c>
      <c r="F31" s="65">
        <v>0.95340403318835421</v>
      </c>
    </row>
    <row r="32" spans="1:6" ht="15" x14ac:dyDescent="0.25">
      <c r="A32" s="64">
        <v>95</v>
      </c>
      <c r="B32" s="65">
        <v>2.7542760323174087E-3</v>
      </c>
      <c r="C32" s="65">
        <v>1.3357528632302924E-2</v>
      </c>
      <c r="D32" s="65">
        <v>1.6262728652156791E-2</v>
      </c>
      <c r="E32" s="65">
        <v>1.4221433494869005E-2</v>
      </c>
      <c r="F32" s="65">
        <v>0.96762546668322325</v>
      </c>
    </row>
    <row r="33" spans="1:6" ht="15" x14ac:dyDescent="0.25">
      <c r="A33" s="64">
        <v>96</v>
      </c>
      <c r="B33" s="65">
        <v>1.5943175913981891E-3</v>
      </c>
      <c r="C33" s="65">
        <v>8.8301084402418462E-3</v>
      </c>
      <c r="D33" s="65">
        <v>1.1222629162678308E-2</v>
      </c>
      <c r="E33" s="65">
        <v>1.0727478122458778E-2</v>
      </c>
      <c r="F33" s="65">
        <v>0.97835294480568202</v>
      </c>
    </row>
    <row r="34" spans="1:6" ht="15" x14ac:dyDescent="0.25">
      <c r="A34" s="64">
        <v>97</v>
      </c>
      <c r="B34" s="65">
        <v>8.7087857584921223E-4</v>
      </c>
      <c r="C34" s="65">
        <v>5.5985972412826253E-3</v>
      </c>
      <c r="D34" s="65">
        <v>7.4073345343786314E-3</v>
      </c>
      <c r="E34" s="65">
        <v>7.7702448428078746E-3</v>
      </c>
      <c r="F34" s="65">
        <v>0.98612318964848988</v>
      </c>
    </row>
    <row r="35" spans="1:6" ht="15" x14ac:dyDescent="0.25">
      <c r="A35" s="64">
        <v>98</v>
      </c>
      <c r="B35" s="65">
        <v>4.4411701484759137E-4</v>
      </c>
      <c r="C35" s="65">
        <v>3.3924071886530555E-3</v>
      </c>
      <c r="D35" s="65">
        <v>4.6563779101483679E-3</v>
      </c>
      <c r="E35" s="65">
        <v>5.3839082378614534E-3</v>
      </c>
      <c r="F35" s="65">
        <v>0.99150709788635139</v>
      </c>
    </row>
    <row r="36" spans="1:6" ht="15" x14ac:dyDescent="0.25">
      <c r="A36" s="64">
        <v>99</v>
      </c>
      <c r="B36" s="65">
        <v>2.0806847431870945E-4</v>
      </c>
      <c r="C36" s="65">
        <v>1.9568350032888385E-3</v>
      </c>
      <c r="D36" s="65">
        <v>2.774531025070975E-3</v>
      </c>
      <c r="E36" s="65">
        <v>3.5534676109704923E-3</v>
      </c>
      <c r="F36" s="65">
        <v>0.99506056549732191</v>
      </c>
    </row>
    <row r="37" spans="1:6" ht="15" x14ac:dyDescent="0.25">
      <c r="A37" s="64">
        <v>100</v>
      </c>
      <c r="B37" s="65">
        <v>9.1821884104808569E-5</v>
      </c>
      <c r="C37" s="65">
        <v>1.069413369379798E-3</v>
      </c>
      <c r="D37" s="65">
        <v>1.5545523594990103E-3</v>
      </c>
      <c r="E37" s="65">
        <v>2.2236468896949064E-3</v>
      </c>
      <c r="F37" s="65">
        <v>0.99728421238701681</v>
      </c>
    </row>
    <row r="38" spans="1:6" ht="15" x14ac:dyDescent="0.25">
      <c r="A38" s="64">
        <v>101</v>
      </c>
      <c r="B38" s="65">
        <v>3.8898764802895825E-5</v>
      </c>
      <c r="C38" s="65">
        <v>5.5214116783962005E-4</v>
      </c>
      <c r="D38" s="65">
        <v>8.1343752723479551E-4</v>
      </c>
      <c r="E38" s="65">
        <v>1.3113101531063054E-3</v>
      </c>
      <c r="F38" s="65">
        <v>0.99859552254012307</v>
      </c>
    </row>
    <row r="39" spans="1:6" ht="15" x14ac:dyDescent="0.25">
      <c r="A39" s="64">
        <v>102</v>
      </c>
      <c r="B39" s="65">
        <v>1.5791145389324557E-5</v>
      </c>
      <c r="C39" s="65">
        <v>2.6873015008784516E-4</v>
      </c>
      <c r="D39" s="65">
        <v>3.9517955256424681E-4</v>
      </c>
      <c r="E39" s="65">
        <v>7.2477661183589488E-4</v>
      </c>
      <c r="F39" s="65">
        <v>0.99932029915195897</v>
      </c>
    </row>
    <row r="40" spans="1:6" ht="15" x14ac:dyDescent="0.25">
      <c r="A40" s="64">
        <v>103</v>
      </c>
      <c r="B40" s="65">
        <v>6.1319907957999316E-6</v>
      </c>
      <c r="C40" s="65">
        <v>1.2293601355128426E-4</v>
      </c>
      <c r="D40" s="65">
        <v>1.7708002304885152E-4</v>
      </c>
      <c r="E40" s="65">
        <v>3.735528206454808E-4</v>
      </c>
      <c r="F40" s="65">
        <v>0.99969385197260441</v>
      </c>
    </row>
    <row r="41" spans="1:6" ht="15" x14ac:dyDescent="0.25">
      <c r="A41" s="64">
        <v>104</v>
      </c>
      <c r="B41" s="65">
        <v>2.2735602484629072E-6</v>
      </c>
      <c r="C41" s="65">
        <v>5.2673885562269831E-5</v>
      </c>
      <c r="D41" s="65">
        <v>7.2656101026977843E-5</v>
      </c>
      <c r="E41" s="65">
        <v>1.7854448055822515E-4</v>
      </c>
      <c r="F41" s="65">
        <v>0.99987239645316262</v>
      </c>
    </row>
    <row r="42" spans="1:6" ht="15" x14ac:dyDescent="0.25">
      <c r="A42" s="64">
        <v>105</v>
      </c>
      <c r="B42" s="65">
        <v>8.0338927996446133E-7</v>
      </c>
      <c r="C42" s="65">
        <v>2.1049993471533149E-5</v>
      </c>
      <c r="D42" s="65">
        <v>2.7074777026055686E-5</v>
      </c>
      <c r="E42" s="65">
        <v>7.8675387060157283E-5</v>
      </c>
      <c r="F42" s="65">
        <v>0.9999510718402228</v>
      </c>
    </row>
    <row r="43" spans="1:6" ht="15" x14ac:dyDescent="0.25">
      <c r="A43" s="64">
        <v>106</v>
      </c>
      <c r="B43" s="65">
        <v>2.7005546304573838E-7</v>
      </c>
      <c r="C43" s="65">
        <v>7.8084395685331488E-6</v>
      </c>
      <c r="D43" s="65">
        <v>9.0816230324195042E-6</v>
      </c>
      <c r="E43" s="65">
        <v>3.1768041713554904E-5</v>
      </c>
      <c r="F43" s="65">
        <v>0.99998283988193637</v>
      </c>
    </row>
    <row r="44" spans="1:6" ht="15" x14ac:dyDescent="0.25">
      <c r="A44" s="64">
        <v>107</v>
      </c>
      <c r="B44" s="65">
        <v>8.6194287433051331E-8</v>
      </c>
      <c r="C44" s="65">
        <v>2.6740444065225864E-6</v>
      </c>
      <c r="D44" s="65">
        <v>2.7159272475743019E-6</v>
      </c>
      <c r="E44" s="65">
        <v>1.1683952122468452E-5</v>
      </c>
      <c r="F44" s="65">
        <v>0.99999452383405885</v>
      </c>
    </row>
    <row r="45" spans="1:6" ht="15" x14ac:dyDescent="0.25">
      <c r="A45" s="64">
        <v>108</v>
      </c>
      <c r="B45" s="65">
        <v>2.6073588251232646E-8</v>
      </c>
      <c r="C45" s="65">
        <v>8.4021590062948841E-7</v>
      </c>
      <c r="D45" s="65">
        <v>7.172005889956902E-7</v>
      </c>
      <c r="E45" s="65">
        <v>3.8926758636535285E-6</v>
      </c>
      <c r="F45" s="65">
        <v>0.99999841650992249</v>
      </c>
    </row>
    <row r="46" spans="1:6" ht="15" x14ac:dyDescent="0.25">
      <c r="A46" s="64">
        <v>109</v>
      </c>
      <c r="B46" s="65">
        <v>7.4615701951439613E-9</v>
      </c>
      <c r="C46" s="65">
        <v>2.4056314816840451E-7</v>
      </c>
      <c r="D46" s="65">
        <v>1.6581652804801281E-7</v>
      </c>
      <c r="E46" s="65">
        <v>1.16964883146485E-6</v>
      </c>
      <c r="F46" s="65">
        <v>0.99999958615875395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6</vt:i4>
      </vt:variant>
    </vt:vector>
  </HeadingPairs>
  <TitlesOfParts>
    <vt:vector size="10" baseType="lpstr">
      <vt:lpstr>Instruction</vt:lpstr>
      <vt:lpstr>parameters</vt:lpstr>
      <vt:lpstr>Transition Rates</vt:lpstr>
      <vt:lpstr>md_transition_rate_table</vt:lpstr>
      <vt:lpstr>chart_type</vt:lpstr>
      <vt:lpstr>ds_rate</vt:lpstr>
      <vt:lpstr>Number_of_simulations</vt:lpstr>
      <vt:lpstr>run_options</vt:lpstr>
      <vt:lpstr>transition_check</vt:lpstr>
      <vt:lpstr>transition_rates</vt:lpstr>
    </vt:vector>
  </TitlesOfParts>
  <Company>City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ZB</dc:creator>
  <cp:lastModifiedBy>吕 梦珂</cp:lastModifiedBy>
  <dcterms:created xsi:type="dcterms:W3CDTF">2020-03-19T11:52:33Z</dcterms:created>
  <dcterms:modified xsi:type="dcterms:W3CDTF">2020-11-01T09:08:22Z</dcterms:modified>
</cp:coreProperties>
</file>